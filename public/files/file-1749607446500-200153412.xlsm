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hidePivotFieldList="1" defaultThemeVersion="124226"/>
  <bookViews>
    <workbookView xWindow="-120" yWindow="-120" windowWidth="20640" windowHeight="11040" tabRatio="304" activeTab="1"/>
  </bookViews>
  <sheets>
    <sheet name="Sheet1" sheetId="85" r:id="rId1"/>
    <sheet name="All" sheetId="84" r:id="rId2"/>
  </sheets>
  <definedNames>
    <definedName name="_xlnm._FilterDatabase" localSheetId="1" hidden="1">All!$A$2:$BK$2</definedName>
    <definedName name="_xlnm.Print_Area" localSheetId="1">All!$B$1:$BK$803</definedName>
  </definedNames>
  <calcPr calcId="125725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741" i="84"/>
  <c r="E741"/>
  <c r="E742"/>
  <c r="E740"/>
  <c r="X795"/>
  <c r="X796"/>
  <c r="X794"/>
  <c r="E794"/>
  <c r="E795"/>
  <c r="E796"/>
  <c r="E793"/>
  <c r="X803"/>
  <c r="X802"/>
  <c r="E802"/>
  <c r="E803"/>
  <c r="X793"/>
  <c r="E792"/>
  <c r="X792"/>
  <c r="X791"/>
  <c r="E791"/>
  <c r="X790"/>
  <c r="X789"/>
  <c r="X788"/>
  <c r="E788"/>
  <c r="E789"/>
  <c r="E790"/>
  <c r="X801"/>
  <c r="E801"/>
  <c r="X785"/>
  <c r="X786"/>
  <c r="X787"/>
  <c r="X784"/>
  <c r="E784"/>
  <c r="E785"/>
  <c r="E786"/>
  <c r="E787"/>
  <c r="X756"/>
  <c r="X757"/>
  <c r="E756"/>
  <c r="E757"/>
  <c r="E758"/>
  <c r="E759"/>
  <c r="X755"/>
  <c r="X754"/>
  <c r="E754"/>
  <c r="E755"/>
  <c r="X799"/>
  <c r="X800"/>
  <c r="E799"/>
  <c r="E800"/>
  <c r="X783"/>
  <c r="X782"/>
  <c r="X781"/>
  <c r="X780"/>
  <c r="X779"/>
  <c r="X778"/>
  <c r="X777"/>
  <c r="X776"/>
  <c r="X775"/>
  <c r="E783"/>
  <c r="E775"/>
  <c r="E776"/>
  <c r="E777"/>
  <c r="E778"/>
  <c r="E779"/>
  <c r="E780"/>
  <c r="E781"/>
  <c r="E782"/>
  <c r="X774"/>
  <c r="X773"/>
  <c r="X772"/>
  <c r="X771"/>
  <c r="X770"/>
  <c r="X769"/>
  <c r="X768"/>
  <c r="E768"/>
  <c r="E769"/>
  <c r="E770"/>
  <c r="E771"/>
  <c r="E772"/>
  <c r="E773"/>
  <c r="E774"/>
  <c r="X740"/>
  <c r="X739"/>
  <c r="E739"/>
  <c r="E738"/>
  <c r="X765"/>
  <c r="X766"/>
  <c r="X738"/>
  <c r="X767"/>
  <c r="X764"/>
  <c r="E764"/>
  <c r="E765"/>
  <c r="E766"/>
  <c r="E767"/>
  <c r="X797"/>
  <c r="X798"/>
  <c r="X750"/>
  <c r="X751"/>
  <c r="X752"/>
  <c r="X753"/>
  <c r="E750"/>
  <c r="E751"/>
  <c r="E752"/>
  <c r="E753"/>
  <c r="X749"/>
  <c r="E749"/>
  <c r="E797"/>
  <c r="E798"/>
  <c r="X763"/>
  <c r="X762"/>
  <c r="E762"/>
  <c r="E763"/>
  <c r="X761"/>
  <c r="E743"/>
  <c r="E744"/>
  <c r="E745"/>
  <c r="E746"/>
  <c r="E747"/>
  <c r="E748"/>
  <c r="E760"/>
  <c r="E761"/>
  <c r="X760" l="1"/>
  <c r="X759"/>
  <c r="X758"/>
  <c r="X737"/>
  <c r="X736"/>
  <c r="X735"/>
  <c r="E735"/>
  <c r="E736"/>
  <c r="E737"/>
  <c r="X734"/>
  <c r="X742"/>
  <c r="X733"/>
  <c r="E733"/>
  <c r="E734"/>
  <c r="X731"/>
  <c r="X732"/>
  <c r="X730"/>
  <c r="X729"/>
  <c r="E729"/>
  <c r="E730"/>
  <c r="E731"/>
  <c r="E732"/>
  <c r="X728"/>
  <c r="X727"/>
  <c r="X724"/>
  <c r="X725"/>
  <c r="X726"/>
  <c r="X723"/>
  <c r="E727"/>
  <c r="E728"/>
  <c r="E723"/>
  <c r="E724"/>
  <c r="E725"/>
  <c r="E726"/>
  <c r="X746"/>
  <c r="X747"/>
  <c r="X748"/>
  <c r="X745"/>
  <c r="X744"/>
  <c r="X743"/>
  <c r="X722"/>
  <c r="X721"/>
  <c r="X720"/>
  <c r="X719"/>
  <c r="X718"/>
  <c r="X717"/>
  <c r="E717"/>
  <c r="E718"/>
  <c r="E719"/>
  <c r="E720"/>
  <c r="E721"/>
  <c r="E722"/>
  <c r="X716"/>
  <c r="X715"/>
  <c r="X714"/>
  <c r="E714"/>
  <c r="E715"/>
  <c r="E716"/>
  <c r="X713"/>
  <c r="X712"/>
  <c r="X711"/>
  <c r="E711"/>
  <c r="E712"/>
  <c r="E713"/>
  <c r="X710"/>
  <c r="X709"/>
  <c r="X708"/>
  <c r="X707"/>
  <c r="E707"/>
  <c r="E708"/>
  <c r="E709"/>
  <c r="E710"/>
  <c r="X703"/>
  <c r="E703"/>
  <c r="X688"/>
  <c r="X687"/>
  <c r="E687"/>
  <c r="E688"/>
  <c r="X686"/>
  <c r="X685"/>
  <c r="E685"/>
  <c r="E686"/>
  <c r="X702"/>
  <c r="X700"/>
  <c r="X701"/>
  <c r="X697"/>
  <c r="X698"/>
  <c r="X699"/>
  <c r="X696"/>
  <c r="E696"/>
  <c r="E697"/>
  <c r="E698"/>
  <c r="E699"/>
  <c r="E700"/>
  <c r="E701"/>
  <c r="E702"/>
  <c r="X706"/>
  <c r="E706"/>
  <c r="X705"/>
  <c r="E705"/>
  <c r="X704"/>
  <c r="E704"/>
  <c r="X684"/>
  <c r="E684"/>
  <c r="X683"/>
  <c r="E683"/>
  <c r="E682"/>
  <c r="X682"/>
  <c r="X681"/>
  <c r="X678"/>
  <c r="X679"/>
  <c r="X680"/>
  <c r="X677"/>
  <c r="X676"/>
  <c r="X675"/>
  <c r="X674"/>
  <c r="E674"/>
  <c r="E675"/>
  <c r="E676"/>
  <c r="E677"/>
  <c r="E678"/>
  <c r="E679"/>
  <c r="E680"/>
  <c r="E681"/>
  <c r="E689"/>
  <c r="X671"/>
  <c r="X672"/>
  <c r="X673"/>
  <c r="X670"/>
  <c r="E670"/>
  <c r="E671"/>
  <c r="E672"/>
  <c r="E673"/>
  <c r="X669"/>
  <c r="E669"/>
  <c r="X668"/>
  <c r="X667"/>
  <c r="X666"/>
  <c r="X665"/>
  <c r="X664"/>
  <c r="E664"/>
  <c r="E665"/>
  <c r="E666"/>
  <c r="E667"/>
  <c r="E668"/>
  <c r="X663"/>
  <c r="E663"/>
  <c r="X695"/>
  <c r="X694"/>
  <c r="X693"/>
  <c r="X692"/>
  <c r="X691"/>
  <c r="X690"/>
  <c r="X689"/>
  <c r="E690"/>
  <c r="E691"/>
  <c r="E692"/>
  <c r="E693"/>
  <c r="E694"/>
  <c r="E695"/>
  <c r="E662"/>
  <c r="X662"/>
  <c r="X661"/>
  <c r="E661"/>
  <c r="X660"/>
  <c r="E660"/>
  <c r="X659"/>
  <c r="X658"/>
  <c r="X657"/>
  <c r="X656"/>
  <c r="X655"/>
  <c r="E655"/>
  <c r="E656"/>
  <c r="E657"/>
  <c r="E658"/>
  <c r="E659"/>
  <c r="X654"/>
  <c r="E653"/>
  <c r="E654"/>
  <c r="X653"/>
  <c r="X652"/>
  <c r="X651"/>
  <c r="E651"/>
  <c r="E652"/>
  <c r="X632"/>
  <c r="X633"/>
  <c r="X634"/>
  <c r="X635"/>
  <c r="X636"/>
  <c r="X631"/>
  <c r="E631"/>
  <c r="E632"/>
  <c r="E633"/>
  <c r="E634"/>
  <c r="X650"/>
  <c r="X649"/>
  <c r="X648"/>
  <c r="X647"/>
  <c r="E647"/>
  <c r="E648"/>
  <c r="E649"/>
  <c r="E650"/>
  <c r="X630"/>
  <c r="X629"/>
  <c r="X628"/>
  <c r="X627"/>
  <c r="X626"/>
  <c r="E626"/>
  <c r="E627"/>
  <c r="E628"/>
  <c r="E629"/>
  <c r="E630"/>
  <c r="X568"/>
  <c r="X625"/>
  <c r="E622"/>
  <c r="E623"/>
  <c r="E624"/>
  <c r="E625"/>
  <c r="E635"/>
  <c r="E636"/>
  <c r="E637"/>
  <c r="X623"/>
  <c r="X624"/>
  <c r="X622"/>
  <c r="X621"/>
  <c r="E621"/>
  <c r="X620"/>
  <c r="X619"/>
  <c r="E619"/>
  <c r="E620"/>
  <c r="X646"/>
  <c r="E646"/>
  <c r="X637"/>
  <c r="X617"/>
  <c r="X618"/>
  <c r="X616"/>
  <c r="X615"/>
  <c r="X614"/>
  <c r="X613"/>
  <c r="X612"/>
  <c r="X611"/>
  <c r="X610"/>
  <c r="X609"/>
  <c r="X608"/>
  <c r="X607"/>
  <c r="X606"/>
  <c r="X605"/>
  <c r="X604"/>
  <c r="X603"/>
  <c r="E603"/>
  <c r="E604"/>
  <c r="E605"/>
  <c r="E606"/>
  <c r="E607"/>
  <c r="E608"/>
  <c r="E609"/>
  <c r="E610"/>
  <c r="E611"/>
  <c r="E612"/>
  <c r="E613"/>
  <c r="E614"/>
  <c r="E615"/>
  <c r="E616"/>
  <c r="E617"/>
  <c r="E618"/>
  <c r="X645"/>
  <c r="X644"/>
  <c r="E644"/>
  <c r="E645"/>
  <c r="X643"/>
  <c r="X642"/>
  <c r="X641"/>
  <c r="X640"/>
  <c r="E640"/>
  <c r="E641"/>
  <c r="E642"/>
  <c r="E643"/>
  <c r="X639"/>
  <c r="E639"/>
  <c r="X602"/>
  <c r="X601"/>
  <c r="E601"/>
  <c r="E602"/>
  <c r="X600"/>
  <c r="X599"/>
  <c r="X598"/>
  <c r="E598"/>
  <c r="E599"/>
  <c r="E600"/>
  <c r="X582"/>
  <c r="E582"/>
  <c r="X567"/>
  <c r="E567"/>
  <c r="X566"/>
  <c r="E566"/>
  <c r="X597"/>
  <c r="X596"/>
  <c r="E596"/>
  <c r="E597"/>
  <c r="X595"/>
  <c r="E595"/>
  <c r="X594"/>
  <c r="X593"/>
  <c r="X592"/>
  <c r="X591"/>
  <c r="E591"/>
  <c r="E592"/>
  <c r="E593"/>
  <c r="E594"/>
  <c r="X638"/>
  <c r="E638"/>
  <c r="X590"/>
  <c r="X589"/>
  <c r="X588"/>
  <c r="E588"/>
  <c r="E589"/>
  <c r="E590"/>
  <c r="X587"/>
  <c r="X586"/>
  <c r="X585"/>
  <c r="X584"/>
  <c r="E584"/>
  <c r="E585"/>
  <c r="E586"/>
  <c r="E587"/>
  <c r="X583"/>
  <c r="E583"/>
  <c r="X561"/>
  <c r="X562"/>
  <c r="X563"/>
  <c r="X564"/>
  <c r="X565"/>
  <c r="X560"/>
  <c r="E561"/>
  <c r="E562"/>
  <c r="E563"/>
  <c r="E564"/>
  <c r="E565"/>
  <c r="E569"/>
  <c r="E560"/>
  <c r="E559"/>
  <c r="E581"/>
  <c r="E580"/>
  <c r="X581"/>
  <c r="X559"/>
  <c r="X558"/>
  <c r="E558"/>
  <c r="X557"/>
  <c r="E557"/>
  <c r="X556"/>
  <c r="X555"/>
  <c r="X554"/>
  <c r="X553"/>
  <c r="E553"/>
  <c r="E554"/>
  <c r="E555"/>
  <c r="E556"/>
  <c r="X575"/>
  <c r="X576"/>
  <c r="X577"/>
  <c r="X578"/>
  <c r="X579"/>
  <c r="X580"/>
  <c r="X574"/>
  <c r="E574"/>
  <c r="E575"/>
  <c r="E576"/>
  <c r="E577"/>
  <c r="E578"/>
  <c r="E579"/>
  <c r="X552"/>
  <c r="X550"/>
  <c r="X551"/>
  <c r="X549"/>
  <c r="E551"/>
  <c r="E552"/>
  <c r="E549"/>
  <c r="E550"/>
  <c r="X547"/>
  <c r="X548"/>
  <c r="E547"/>
  <c r="E548"/>
  <c r="E570"/>
  <c r="X569"/>
  <c r="X570"/>
  <c r="X571"/>
  <c r="X572"/>
  <c r="X573"/>
  <c r="E571"/>
  <c r="E572"/>
  <c r="E573"/>
  <c r="X542"/>
  <c r="X543"/>
  <c r="X544"/>
  <c r="X545"/>
  <c r="X546"/>
  <c r="X541"/>
  <c r="X540"/>
  <c r="E540"/>
  <c r="E541"/>
  <c r="E542"/>
  <c r="E543"/>
  <c r="E544"/>
  <c r="E545"/>
  <c r="E546"/>
  <c r="X477"/>
  <c r="E476"/>
  <c r="E477"/>
  <c r="X476"/>
  <c r="X472"/>
  <c r="X473"/>
  <c r="X474"/>
  <c r="X475"/>
  <c r="E472"/>
  <c r="E473"/>
  <c r="E474"/>
  <c r="E475"/>
  <c r="E478"/>
  <c r="X406"/>
  <c r="E406"/>
  <c r="X405"/>
  <c r="X404"/>
  <c r="E404"/>
  <c r="E405"/>
  <c r="X537"/>
  <c r="X538"/>
  <c r="X539"/>
  <c r="X531"/>
  <c r="X532"/>
  <c r="X533"/>
  <c r="X534"/>
  <c r="X535"/>
  <c r="X536"/>
  <c r="X530"/>
  <c r="X529"/>
  <c r="E529"/>
  <c r="E530"/>
  <c r="E531"/>
  <c r="E532"/>
  <c r="E533"/>
  <c r="E534"/>
  <c r="E535"/>
  <c r="E536"/>
  <c r="E537"/>
  <c r="E538"/>
  <c r="E539"/>
  <c r="X528"/>
  <c r="X527"/>
  <c r="X526"/>
  <c r="X525"/>
  <c r="X524"/>
  <c r="X523"/>
  <c r="X522"/>
  <c r="X521"/>
  <c r="X520"/>
  <c r="X519"/>
  <c r="E519"/>
  <c r="E520"/>
  <c r="E521"/>
  <c r="E522"/>
  <c r="E523"/>
  <c r="E524"/>
  <c r="E525"/>
  <c r="E526"/>
  <c r="E527"/>
  <c r="E528"/>
  <c r="X517"/>
  <c r="X518"/>
  <c r="E517"/>
  <c r="E518"/>
  <c r="X516"/>
  <c r="E516"/>
  <c r="X514"/>
  <c r="X515"/>
  <c r="X513"/>
  <c r="X512"/>
  <c r="X511"/>
  <c r="E511"/>
  <c r="E512"/>
  <c r="E513"/>
  <c r="E514"/>
  <c r="E515"/>
  <c r="X510"/>
  <c r="E510"/>
  <c r="X471"/>
  <c r="E471"/>
  <c r="X470"/>
  <c r="E470"/>
  <c r="X509"/>
  <c r="X508"/>
  <c r="X507"/>
  <c r="X506"/>
  <c r="X505"/>
  <c r="X504"/>
  <c r="E504"/>
  <c r="E505"/>
  <c r="E506"/>
  <c r="E507"/>
  <c r="E508"/>
  <c r="E509"/>
  <c r="X469"/>
  <c r="X468"/>
  <c r="X467"/>
  <c r="E467"/>
  <c r="E468"/>
  <c r="E469"/>
  <c r="X466"/>
  <c r="X460"/>
  <c r="X461"/>
  <c r="X462"/>
  <c r="X463"/>
  <c r="X464"/>
  <c r="X465"/>
  <c r="X459"/>
  <c r="X458"/>
  <c r="E464"/>
  <c r="E465"/>
  <c r="E466"/>
  <c r="E458"/>
  <c r="E459"/>
  <c r="E460"/>
  <c r="E461"/>
  <c r="E462"/>
  <c r="E463"/>
  <c r="X457"/>
  <c r="E457"/>
  <c r="X456"/>
  <c r="X455"/>
  <c r="E455"/>
  <c r="E456"/>
  <c r="X454"/>
  <c r="E454"/>
  <c r="X403"/>
  <c r="E403"/>
  <c r="X452"/>
  <c r="X453"/>
  <c r="X445"/>
  <c r="X446"/>
  <c r="X447"/>
  <c r="X448"/>
  <c r="X444"/>
  <c r="X443"/>
  <c r="X449"/>
  <c r="X450"/>
  <c r="X451"/>
  <c r="X442"/>
  <c r="E450"/>
  <c r="E451"/>
  <c r="E452"/>
  <c r="E453"/>
  <c r="E442"/>
  <c r="E443"/>
  <c r="E444"/>
  <c r="E445"/>
  <c r="E446"/>
  <c r="E447"/>
  <c r="E448"/>
  <c r="E449"/>
  <c r="X498"/>
  <c r="X499"/>
  <c r="X500"/>
  <c r="X501"/>
  <c r="X502"/>
  <c r="X503"/>
  <c r="X497"/>
  <c r="X496"/>
  <c r="E496"/>
  <c r="E497"/>
  <c r="E498"/>
  <c r="E499"/>
  <c r="E500"/>
  <c r="E501"/>
  <c r="E502"/>
  <c r="E503"/>
  <c r="X402"/>
  <c r="E402"/>
  <c r="X423"/>
  <c r="E423"/>
  <c r="X441"/>
  <c r="E441"/>
  <c r="E422"/>
  <c r="E421"/>
  <c r="X422"/>
  <c r="X491"/>
  <c r="X492"/>
  <c r="X493"/>
  <c r="X494"/>
  <c r="X495"/>
  <c r="X490"/>
  <c r="X489"/>
  <c r="E489"/>
  <c r="E490"/>
  <c r="E491"/>
  <c r="E492"/>
  <c r="E493"/>
  <c r="E494"/>
  <c r="E495"/>
  <c r="X440"/>
  <c r="E401"/>
  <c r="E407"/>
  <c r="E408"/>
  <c r="X401"/>
  <c r="X439"/>
  <c r="E439"/>
  <c r="E440"/>
  <c r="X487"/>
  <c r="X488"/>
  <c r="X486"/>
  <c r="X421"/>
  <c r="X480"/>
  <c r="X481"/>
  <c r="X482"/>
  <c r="X483"/>
  <c r="X484"/>
  <c r="X485"/>
  <c r="X479"/>
  <c r="E479"/>
  <c r="E480"/>
  <c r="E481"/>
  <c r="E482"/>
  <c r="E483"/>
  <c r="E484"/>
  <c r="E485"/>
  <c r="E486"/>
  <c r="E487"/>
  <c r="E488"/>
  <c r="X400"/>
  <c r="E400"/>
  <c r="X431"/>
  <c r="X432"/>
  <c r="X433"/>
  <c r="X434"/>
  <c r="X435"/>
  <c r="X436"/>
  <c r="X437"/>
  <c r="X438"/>
  <c r="X478"/>
  <c r="X430"/>
  <c r="E430"/>
  <c r="E431"/>
  <c r="E432"/>
  <c r="E433"/>
  <c r="E434"/>
  <c r="E435"/>
  <c r="E436"/>
  <c r="E437"/>
  <c r="E438"/>
  <c r="X429"/>
  <c r="X428"/>
  <c r="X427"/>
  <c r="X426"/>
  <c r="E426"/>
  <c r="E427"/>
  <c r="E428"/>
  <c r="E429"/>
  <c r="E425"/>
  <c r="E424"/>
  <c r="E412"/>
  <c r="E418"/>
  <c r="E419"/>
  <c r="E420"/>
  <c r="X425"/>
  <c r="X399"/>
  <c r="E399"/>
  <c r="X424"/>
  <c r="X398"/>
  <c r="E398"/>
  <c r="X397"/>
  <c r="X396"/>
  <c r="E396"/>
  <c r="E397"/>
  <c r="X420"/>
  <c r="X419"/>
  <c r="X418"/>
  <c r="X395"/>
  <c r="E395"/>
  <c r="X394"/>
  <c r="X393"/>
  <c r="X392"/>
  <c r="E392"/>
  <c r="E393"/>
  <c r="E394"/>
  <c r="X387"/>
  <c r="X388"/>
  <c r="X389"/>
  <c r="X390"/>
  <c r="X391"/>
  <c r="X386"/>
  <c r="X385"/>
  <c r="X384"/>
  <c r="X383"/>
  <c r="X382"/>
  <c r="E382"/>
  <c r="E383"/>
  <c r="E384"/>
  <c r="E385"/>
  <c r="E386"/>
  <c r="E387"/>
  <c r="E388"/>
  <c r="E389"/>
  <c r="E390"/>
  <c r="E391"/>
  <c r="X416"/>
  <c r="X417"/>
  <c r="X415"/>
  <c r="E416"/>
  <c r="E417"/>
  <c r="E415"/>
  <c r="E414"/>
  <c r="X381"/>
  <c r="X380"/>
  <c r="E380"/>
  <c r="E381"/>
  <c r="X409"/>
  <c r="X410"/>
  <c r="X411"/>
  <c r="X412"/>
  <c r="X413"/>
  <c r="X414"/>
  <c r="X408"/>
  <c r="X407"/>
  <c r="X379"/>
  <c r="X378"/>
  <c r="X377"/>
  <c r="X376"/>
  <c r="X375"/>
  <c r="X374"/>
  <c r="X373"/>
  <c r="X372"/>
  <c r="X371"/>
  <c r="X370"/>
  <c r="X369"/>
  <c r="X368"/>
  <c r="E379"/>
  <c r="E409"/>
  <c r="E410"/>
  <c r="E411"/>
  <c r="E413"/>
  <c r="E368"/>
  <c r="E369"/>
  <c r="E370"/>
  <c r="E371"/>
  <c r="E372"/>
  <c r="E373"/>
  <c r="E374"/>
  <c r="E375"/>
  <c r="E376"/>
  <c r="E377"/>
  <c r="E378"/>
  <c r="X367"/>
  <c r="X366"/>
  <c r="X365"/>
  <c r="X364"/>
  <c r="X363"/>
  <c r="X362"/>
  <c r="X361"/>
  <c r="X360"/>
  <c r="X354"/>
  <c r="X352"/>
  <c r="X353"/>
  <c r="X355"/>
  <c r="X356"/>
  <c r="X357"/>
  <c r="X358"/>
  <c r="X359"/>
  <c r="X351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X335"/>
  <c r="X336"/>
  <c r="X337"/>
  <c r="X338"/>
  <c r="X339"/>
  <c r="X340"/>
  <c r="X293"/>
  <c r="E293"/>
  <c r="X334"/>
  <c r="X333"/>
  <c r="E340"/>
  <c r="E333"/>
  <c r="E334"/>
  <c r="E335"/>
  <c r="E336"/>
  <c r="E337"/>
  <c r="E338"/>
  <c r="E339"/>
  <c r="X332"/>
  <c r="E331"/>
  <c r="E332"/>
  <c r="X331"/>
  <c r="X330"/>
  <c r="X329"/>
  <c r="X328"/>
  <c r="X327"/>
  <c r="X326"/>
  <c r="E329"/>
  <c r="E330"/>
  <c r="E326"/>
  <c r="E327"/>
  <c r="E328"/>
  <c r="X325"/>
  <c r="X324"/>
  <c r="X323"/>
  <c r="X322"/>
  <c r="E322"/>
  <c r="E323"/>
  <c r="E324"/>
  <c r="E325"/>
  <c r="X321"/>
  <c r="E321"/>
  <c r="X346"/>
  <c r="X347"/>
  <c r="X348"/>
  <c r="X349"/>
  <c r="X350"/>
  <c r="X345"/>
  <c r="X344"/>
  <c r="X343"/>
  <c r="X342"/>
  <c r="X341"/>
  <c r="X320"/>
  <c r="X319"/>
  <c r="X318"/>
  <c r="X317"/>
  <c r="X316"/>
  <c r="X315"/>
  <c r="X314"/>
  <c r="X313"/>
  <c r="X312"/>
  <c r="X311"/>
  <c r="E311"/>
  <c r="E312"/>
  <c r="E313"/>
  <c r="E314"/>
  <c r="E315"/>
  <c r="E316"/>
  <c r="E317"/>
  <c r="E318"/>
  <c r="E319"/>
  <c r="E320"/>
  <c r="E341"/>
  <c r="E342"/>
  <c r="E343"/>
  <c r="E344"/>
  <c r="E345"/>
  <c r="E346"/>
  <c r="E347"/>
  <c r="E348"/>
  <c r="E349"/>
  <c r="E350"/>
  <c r="X279" l="1"/>
  <c r="X280"/>
  <c r="X281"/>
  <c r="X282"/>
  <c r="X283"/>
  <c r="X284"/>
  <c r="X285"/>
  <c r="X286"/>
  <c r="X287"/>
  <c r="X288"/>
  <c r="X289"/>
  <c r="X290"/>
  <c r="X291"/>
  <c r="X292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278"/>
  <c r="X240"/>
  <c r="E240"/>
  <c r="X268"/>
  <c r="X267"/>
  <c r="X269"/>
  <c r="X270"/>
  <c r="X271"/>
  <c r="X272"/>
  <c r="X273"/>
  <c r="X274"/>
  <c r="X275"/>
  <c r="X276"/>
  <c r="X277"/>
  <c r="X266"/>
  <c r="X265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X264"/>
  <c r="X263"/>
  <c r="E263"/>
  <c r="E264"/>
  <c r="X238"/>
  <c r="X239"/>
  <c r="X237"/>
  <c r="E237"/>
  <c r="E238"/>
  <c r="E239"/>
  <c r="X236"/>
  <c r="E236"/>
  <c r="X235"/>
  <c r="E235"/>
  <c r="X234"/>
  <c r="E234"/>
  <c r="X232"/>
  <c r="X233"/>
  <c r="X231"/>
  <c r="E231"/>
  <c r="E232"/>
  <c r="E233"/>
  <c r="X262"/>
  <c r="E262"/>
  <c r="X230"/>
  <c r="X229"/>
  <c r="X228"/>
  <c r="X227"/>
  <c r="X226"/>
  <c r="E226"/>
  <c r="E227"/>
  <c r="E228"/>
  <c r="E229"/>
  <c r="E230"/>
  <c r="X261"/>
  <c r="X260"/>
  <c r="X259"/>
  <c r="E259"/>
  <c r="E260"/>
  <c r="E261"/>
  <c r="X225"/>
  <c r="E225"/>
  <c r="X256"/>
  <c r="X257"/>
  <c r="X258"/>
  <c r="E258"/>
  <c r="E257"/>
  <c r="X255"/>
  <c r="X254"/>
  <c r="X253"/>
  <c r="X252"/>
  <c r="X251"/>
  <c r="E251"/>
  <c r="E252"/>
  <c r="E253"/>
  <c r="E254"/>
  <c r="E255"/>
  <c r="E256"/>
  <c r="X220"/>
  <c r="X221"/>
  <c r="X222"/>
  <c r="X223"/>
  <c r="X224"/>
  <c r="E220"/>
  <c r="E221"/>
  <c r="E222"/>
  <c r="E223"/>
  <c r="E224"/>
  <c r="X219"/>
  <c r="E219"/>
  <c r="X218"/>
  <c r="E218"/>
  <c r="E217"/>
  <c r="X213"/>
  <c r="X214"/>
  <c r="X215"/>
  <c r="X216"/>
  <c r="X217"/>
  <c r="X212"/>
  <c r="E212"/>
  <c r="E213"/>
  <c r="E214"/>
  <c r="E215"/>
  <c r="E216"/>
  <c r="X208"/>
  <c r="X209"/>
  <c r="X210"/>
  <c r="X211"/>
  <c r="X241"/>
  <c r="X242"/>
  <c r="X243"/>
  <c r="X244"/>
  <c r="X245"/>
  <c r="X246"/>
  <c r="X247"/>
  <c r="X248"/>
  <c r="X249"/>
  <c r="X250"/>
  <c r="X207"/>
  <c r="X206"/>
  <c r="X205"/>
  <c r="X204"/>
  <c r="E204"/>
  <c r="E205"/>
  <c r="E206"/>
  <c r="E207"/>
  <c r="E208"/>
  <c r="E209"/>
  <c r="E210"/>
  <c r="E211"/>
  <c r="E241"/>
  <c r="E242"/>
  <c r="E243"/>
  <c r="E244"/>
  <c r="E245"/>
  <c r="E246"/>
  <c r="E247"/>
  <c r="E248"/>
  <c r="E249"/>
  <c r="E250"/>
  <c r="X203"/>
  <c r="X202"/>
  <c r="X201"/>
  <c r="X200"/>
  <c r="X199"/>
  <c r="X198"/>
  <c r="X197"/>
  <c r="X196"/>
  <c r="X195"/>
  <c r="X194"/>
  <c r="X193"/>
  <c r="X192"/>
  <c r="X191"/>
  <c r="X190"/>
  <c r="X189"/>
  <c r="X188"/>
  <c r="E188"/>
  <c r="E189"/>
  <c r="E190"/>
  <c r="E191"/>
  <c r="E192"/>
  <c r="E193"/>
  <c r="E194"/>
  <c r="E195"/>
  <c r="E196"/>
  <c r="E197"/>
  <c r="E198"/>
  <c r="E199"/>
  <c r="E200"/>
  <c r="E201"/>
  <c r="E202"/>
  <c r="E203"/>
  <c r="E139"/>
  <c r="X139"/>
  <c r="X180"/>
  <c r="X181"/>
  <c r="X182"/>
  <c r="X183"/>
  <c r="X184"/>
  <c r="X185"/>
  <c r="X186"/>
  <c r="X187"/>
  <c r="E180"/>
  <c r="E181"/>
  <c r="E182"/>
  <c r="E183"/>
  <c r="E184"/>
  <c r="E185"/>
  <c r="E186"/>
  <c r="E187"/>
  <c r="E138"/>
  <c r="X138"/>
  <c r="X179"/>
  <c r="E179"/>
  <c r="X177"/>
  <c r="E171"/>
  <c r="E172"/>
  <c r="E173"/>
  <c r="E174"/>
  <c r="E175"/>
  <c r="E176"/>
  <c r="E177"/>
  <c r="E178"/>
  <c r="X171"/>
  <c r="X172"/>
  <c r="X173"/>
  <c r="X174"/>
  <c r="X175"/>
  <c r="X176"/>
  <c r="X178"/>
  <c r="X135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40"/>
  <c r="E141"/>
  <c r="E142"/>
  <c r="E143"/>
  <c r="E144"/>
  <c r="E145"/>
  <c r="E146"/>
  <c r="E147"/>
  <c r="E148"/>
  <c r="E149"/>
  <c r="E150"/>
  <c r="E151"/>
  <c r="X120"/>
  <c r="X121"/>
  <c r="X122"/>
  <c r="X123"/>
  <c r="X124"/>
  <c r="X125"/>
  <c r="X126"/>
  <c r="X127"/>
  <c r="X128"/>
  <c r="X129"/>
  <c r="X130"/>
  <c r="X131"/>
  <c r="X132"/>
  <c r="X133"/>
  <c r="X134"/>
  <c r="X136"/>
  <c r="E116"/>
  <c r="X116"/>
  <c r="X117"/>
  <c r="X118"/>
  <c r="X119"/>
  <c r="X137"/>
  <c r="E166"/>
  <c r="X166"/>
  <c r="E167"/>
  <c r="X167"/>
  <c r="E168"/>
  <c r="X168"/>
  <c r="E169"/>
  <c r="X169"/>
  <c r="X154"/>
  <c r="X150"/>
  <c r="X151"/>
  <c r="X152"/>
  <c r="X153"/>
  <c r="X155"/>
  <c r="X156"/>
  <c r="X157"/>
  <c r="X158"/>
  <c r="X159"/>
  <c r="X160"/>
  <c r="X161"/>
  <c r="X162"/>
  <c r="X163"/>
  <c r="X164"/>
  <c r="X165"/>
  <c r="X170"/>
  <c r="E67"/>
  <c r="X67"/>
  <c r="E65"/>
  <c r="X65"/>
  <c r="E37"/>
  <c r="E100"/>
  <c r="E101"/>
  <c r="E102"/>
  <c r="E103"/>
  <c r="E104"/>
  <c r="E105"/>
  <c r="E106"/>
  <c r="E107"/>
  <c r="E108"/>
  <c r="E109"/>
  <c r="E110"/>
  <c r="E111"/>
  <c r="E112"/>
  <c r="E113"/>
  <c r="E114"/>
  <c r="E115"/>
  <c r="E152"/>
  <c r="E153"/>
  <c r="E154"/>
  <c r="E155"/>
  <c r="E156"/>
  <c r="E157"/>
  <c r="E158"/>
  <c r="E159"/>
  <c r="E160"/>
  <c r="E161"/>
  <c r="E162"/>
  <c r="E163"/>
  <c r="E164"/>
  <c r="E165"/>
  <c r="E170"/>
  <c r="X103"/>
  <c r="X104"/>
  <c r="X105"/>
  <c r="X106"/>
  <c r="X107"/>
  <c r="X108"/>
  <c r="X109"/>
  <c r="X110"/>
  <c r="X111"/>
  <c r="X112"/>
  <c r="X113"/>
  <c r="X114"/>
  <c r="X115"/>
  <c r="X140"/>
  <c r="X141"/>
  <c r="X142"/>
  <c r="X143"/>
  <c r="X144"/>
  <c r="X145"/>
  <c r="X146"/>
  <c r="X147"/>
  <c r="X148"/>
  <c r="X149"/>
  <c r="X9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100"/>
  <c r="X101"/>
  <c r="X102"/>
  <c r="X78"/>
  <c r="X73"/>
  <c r="X74"/>
  <c r="X75"/>
  <c r="X76"/>
  <c r="X77"/>
  <c r="X79"/>
  <c r="E73"/>
  <c r="E74"/>
  <c r="E75"/>
  <c r="E76"/>
  <c r="E77"/>
  <c r="E78"/>
  <c r="E79"/>
  <c r="E72"/>
  <c r="E68"/>
  <c r="E69"/>
  <c r="E70"/>
  <c r="E71"/>
  <c r="E66"/>
  <c r="E64"/>
  <c r="E59"/>
  <c r="E60"/>
  <c r="E61"/>
  <c r="E62"/>
  <c r="E63"/>
  <c r="E58"/>
  <c r="E57"/>
  <c r="E38"/>
  <c r="X38"/>
  <c r="X37"/>
  <c r="E36"/>
  <c r="X36"/>
  <c r="E56"/>
  <c r="E35"/>
  <c r="X35"/>
  <c r="E54"/>
  <c r="E55"/>
  <c r="E34"/>
  <c r="X34"/>
  <c r="E33" l="1"/>
  <c r="E32"/>
  <c r="X33"/>
  <c r="E31"/>
  <c r="X32"/>
  <c r="E30"/>
  <c r="X31"/>
  <c r="X30"/>
  <c r="X51"/>
  <c r="X52"/>
  <c r="X53"/>
  <c r="X54"/>
  <c r="X55"/>
  <c r="X56"/>
  <c r="X50"/>
  <c r="X41"/>
  <c r="X40"/>
  <c r="X39"/>
  <c r="E27"/>
  <c r="E28"/>
  <c r="E29"/>
  <c r="E39"/>
  <c r="E40"/>
  <c r="E41"/>
  <c r="E42"/>
  <c r="E43"/>
  <c r="E44"/>
  <c r="E45"/>
  <c r="E46"/>
  <c r="E47"/>
  <c r="E48"/>
  <c r="E20"/>
  <c r="E21"/>
  <c r="E22"/>
  <c r="E23"/>
  <c r="E24"/>
  <c r="E25"/>
  <c r="E26"/>
  <c r="X20"/>
  <c r="X21"/>
  <c r="X22"/>
  <c r="X23"/>
  <c r="X24"/>
  <c r="X25"/>
  <c r="X26"/>
  <c r="X27"/>
  <c r="X28"/>
  <c r="X29"/>
  <c r="X42"/>
  <c r="X43"/>
  <c r="X44"/>
  <c r="X45"/>
  <c r="X46"/>
  <c r="X47"/>
  <c r="X48"/>
  <c r="E49"/>
  <c r="X49"/>
  <c r="E15"/>
  <c r="E16"/>
  <c r="E17"/>
  <c r="E18"/>
  <c r="E19"/>
  <c r="X15"/>
  <c r="X16"/>
  <c r="X17"/>
  <c r="X18"/>
  <c r="X19"/>
  <c r="E13"/>
  <c r="E14"/>
  <c r="X13"/>
  <c r="X14"/>
  <c r="E12"/>
  <c r="E50"/>
  <c r="E51"/>
  <c r="E52"/>
  <c r="E53"/>
  <c r="E11"/>
  <c r="E10"/>
  <c r="X12"/>
  <c r="X57"/>
  <c r="X58"/>
  <c r="X59"/>
  <c r="X60"/>
  <c r="X61"/>
  <c r="X62"/>
  <c r="X63"/>
  <c r="X64"/>
  <c r="X66"/>
  <c r="X68"/>
  <c r="X69"/>
  <c r="X70"/>
  <c r="X71"/>
  <c r="X72"/>
  <c r="X11"/>
  <c r="X7"/>
  <c r="E7"/>
  <c r="X6"/>
  <c r="E6"/>
  <c r="X5"/>
  <c r="E5"/>
  <c r="X10" l="1"/>
  <c r="X9"/>
  <c r="X8"/>
  <c r="E9" l="1"/>
  <c r="E8" l="1"/>
</calcChain>
</file>

<file path=xl/sharedStrings.xml><?xml version="1.0" encoding="utf-8"?>
<sst xmlns="http://schemas.openxmlformats.org/spreadsheetml/2006/main" count="10574" uniqueCount="2010">
  <si>
    <t>Customer</t>
  </si>
  <si>
    <t>Masalah</t>
  </si>
  <si>
    <t>Type</t>
  </si>
  <si>
    <t>Size</t>
  </si>
  <si>
    <t>C/n</t>
  </si>
  <si>
    <t>T/u</t>
  </si>
  <si>
    <t>No.</t>
  </si>
  <si>
    <t>Issued
date</t>
  </si>
  <si>
    <t>Finished
date</t>
  </si>
  <si>
    <t>Remarks</t>
  </si>
  <si>
    <t>Passed
by</t>
  </si>
  <si>
    <t>Penyebab Masalah</t>
  </si>
  <si>
    <t>Tindakan perbaikan</t>
  </si>
  <si>
    <t>Lot No.</t>
  </si>
  <si>
    <t>Qty Reel</t>
  </si>
  <si>
    <t>class</t>
  </si>
  <si>
    <t>PTR Status</t>
  </si>
  <si>
    <t>OK 
Reel</t>
  </si>
  <si>
    <t>NG 
Reel</t>
  </si>
  <si>
    <t>Closed</t>
  </si>
  <si>
    <t>sedang</t>
  </si>
  <si>
    <t>Occurence</t>
  </si>
  <si>
    <t>Issued By</t>
  </si>
  <si>
    <t>0FBWSHC</t>
  </si>
  <si>
    <t>2PEW</t>
  </si>
  <si>
    <t>MITSUBA</t>
  </si>
  <si>
    <t>QCDR</t>
  </si>
  <si>
    <t>PTR</t>
  </si>
  <si>
    <t>MELCO</t>
  </si>
  <si>
    <t>002</t>
  </si>
  <si>
    <t>001</t>
  </si>
  <si>
    <t>DMIA</t>
  </si>
  <si>
    <t>SPECIAL PASS OK</t>
  </si>
  <si>
    <t>Column1</t>
  </si>
  <si>
    <t>Section</t>
  </si>
  <si>
    <t>VRT</t>
  </si>
  <si>
    <t>Month</t>
  </si>
  <si>
    <t>MC</t>
  </si>
  <si>
    <t>1 S/D 5</t>
  </si>
  <si>
    <t>003</t>
  </si>
  <si>
    <t>Mr. Koko</t>
  </si>
  <si>
    <t>Month :Jan~Dec "22</t>
  </si>
  <si>
    <t>D1-PEW-B-2Y</t>
  </si>
  <si>
    <t>SEI-ASMO</t>
  </si>
  <si>
    <t>CD Hempei</t>
  </si>
  <si>
    <t>Parafin</t>
  </si>
  <si>
    <t>Rotary Dies Inline</t>
  </si>
  <si>
    <t>Laser Micro Alarm</t>
  </si>
  <si>
    <t>D2-PEW-B-1</t>
  </si>
  <si>
    <t>TOYOTSU</t>
  </si>
  <si>
    <t>ABNORMALITY LIST of  2022</t>
  </si>
  <si>
    <t>HRZ</t>
  </si>
  <si>
    <t>D2IDW4-B-2</t>
  </si>
  <si>
    <t>OD Big</t>
  </si>
  <si>
    <t>1 S/D 10</t>
  </si>
  <si>
    <t>Horiba Big</t>
  </si>
  <si>
    <t>004 / 005</t>
  </si>
  <si>
    <t>Adjust T/U Tension</t>
  </si>
  <si>
    <t>Horiba Kecil</t>
  </si>
  <si>
    <t>Siwa</t>
  </si>
  <si>
    <t>Normal Sendiri</t>
  </si>
  <si>
    <t>Tension Terlalu Kuat</t>
  </si>
  <si>
    <t>(All)</t>
  </si>
  <si>
    <t>Row Labels</t>
  </si>
  <si>
    <t>11A</t>
  </si>
  <si>
    <t>11B</t>
  </si>
  <si>
    <t>12A</t>
  </si>
  <si>
    <t>12B</t>
  </si>
  <si>
    <t>V1A</t>
  </si>
  <si>
    <t>V1B</t>
  </si>
  <si>
    <t>V4A</t>
  </si>
  <si>
    <t>V4B</t>
  </si>
  <si>
    <t>V6A</t>
  </si>
  <si>
    <t>V6B</t>
  </si>
  <si>
    <t>V8A</t>
  </si>
  <si>
    <t>V8B</t>
  </si>
  <si>
    <t>V8C</t>
  </si>
  <si>
    <t>V8D</t>
  </si>
  <si>
    <t>V9A</t>
  </si>
  <si>
    <t>V9B</t>
  </si>
  <si>
    <t>VOA</t>
  </si>
  <si>
    <t>VOB</t>
  </si>
  <si>
    <t>Grand Total</t>
  </si>
  <si>
    <t>Count of Masalah</t>
  </si>
  <si>
    <t>Column Labels</t>
  </si>
  <si>
    <t>TYpeSizeee</t>
  </si>
  <si>
    <t>(blank)</t>
  </si>
  <si>
    <t>0FBWCC1.1</t>
  </si>
  <si>
    <t>0FBWSHC0.95</t>
  </si>
  <si>
    <t>0FBWSHC1.1</t>
  </si>
  <si>
    <t>0FBWSHC1.2</t>
  </si>
  <si>
    <t>1AIW0.9</t>
  </si>
  <si>
    <t>1AIW1.1</t>
  </si>
  <si>
    <t>1AIWP1.05</t>
  </si>
  <si>
    <t>1AIWP1.35</t>
  </si>
  <si>
    <t>1-ATZ-3001.25</t>
  </si>
  <si>
    <t>1EIWAD-S1.6</t>
  </si>
  <si>
    <t>1FBWCC1</t>
  </si>
  <si>
    <t>1HGZ-MA1.18</t>
  </si>
  <si>
    <t>1PEW1.7</t>
  </si>
  <si>
    <t>1PEW2</t>
  </si>
  <si>
    <t>1PEW2.3</t>
  </si>
  <si>
    <t>2AIW0.6</t>
  </si>
  <si>
    <t>2EIWAD1.5</t>
  </si>
  <si>
    <t>2EIWAD-EPS1.25</t>
  </si>
  <si>
    <t>2EIWAD-O1.65</t>
  </si>
  <si>
    <t>2EIWAD-O1.81</t>
  </si>
  <si>
    <t>2EIWAD-OP1.25</t>
  </si>
  <si>
    <t>2EIWAD-OP1.61</t>
  </si>
  <si>
    <t>2EIWAD-OP1.81</t>
  </si>
  <si>
    <t>2EIWAD-P1.15</t>
  </si>
  <si>
    <t>2EIWAD-P1.25</t>
  </si>
  <si>
    <t>2PEW0.6</t>
  </si>
  <si>
    <t>2PEW0.67</t>
  </si>
  <si>
    <t>2PEW0.73</t>
  </si>
  <si>
    <t>2PEW0.75</t>
  </si>
  <si>
    <t>2PEW0.77</t>
  </si>
  <si>
    <t>2PEW0.8</t>
  </si>
  <si>
    <t>2PEW0.82</t>
  </si>
  <si>
    <t>2PEW0.85</t>
  </si>
  <si>
    <t>2PEW0.9</t>
  </si>
  <si>
    <t>D1-IDW-41.15</t>
  </si>
  <si>
    <t>D1-PEW-B-2T0.6</t>
  </si>
  <si>
    <t>D1-PEW-B-2Y0.8</t>
  </si>
  <si>
    <t>D2DSW20.5</t>
  </si>
  <si>
    <t>D2IDW4A-10.554</t>
  </si>
  <si>
    <t>D2IDW4A-10.58</t>
  </si>
  <si>
    <t>D2IDW-4-B-20.44</t>
  </si>
  <si>
    <t>D2IDW-4-B-20.65</t>
  </si>
  <si>
    <t>D2IDW-4-B-20.7</t>
  </si>
  <si>
    <t>D2-IDW-4E0.83</t>
  </si>
  <si>
    <t>D2-PEW-B-10.5</t>
  </si>
  <si>
    <t>Oil Paper Over</t>
  </si>
  <si>
    <t>WS Roll Coater Diturunkan 1.80 ---&gt; 1.60</t>
  </si>
  <si>
    <t>V4A4110</t>
  </si>
  <si>
    <t>Abnormality List 2024</t>
  </si>
  <si>
    <t>V9B4105</t>
  </si>
  <si>
    <t>11A4111</t>
  </si>
  <si>
    <t>Spool Change / Adjust Felt Sebelum Oven</t>
  </si>
  <si>
    <t>11A4104</t>
  </si>
  <si>
    <t>11A4103</t>
  </si>
  <si>
    <t>Cleaning Sheave Winding</t>
  </si>
  <si>
    <t>11A4109</t>
  </si>
  <si>
    <t>1 S/D 5 / 5</t>
  </si>
  <si>
    <t>Cleaning Sheave / Felt</t>
  </si>
  <si>
    <t>V1A4110</t>
  </si>
  <si>
    <t>BW Big</t>
  </si>
  <si>
    <t>Indikasi Tension Melebihi Batas Maksimal</t>
  </si>
  <si>
    <t>H2A4104</t>
  </si>
  <si>
    <t>H1B4104</t>
  </si>
  <si>
    <t>H1A4103</t>
  </si>
  <si>
    <t>D1PEW-B-2Y</t>
  </si>
  <si>
    <t xml:space="preserve">CD Kecil </t>
  </si>
  <si>
    <t>Check Pass Line</t>
  </si>
  <si>
    <t>V9A4114</t>
  </si>
  <si>
    <t>Out Sheave Sebelum Annealer 1</t>
  </si>
  <si>
    <t>Check Wire Pass Line Pastikan Tidak Ada Out Sheave</t>
  </si>
  <si>
    <t>V4A4107</t>
  </si>
  <si>
    <t>Wire Kasar</t>
  </si>
  <si>
    <t>Wire Numpuk di Capstand Sebelum F. Dies</t>
  </si>
  <si>
    <t>Wire Dibenarin</t>
  </si>
  <si>
    <t>V9B4113</t>
  </si>
  <si>
    <t>Blister</t>
  </si>
  <si>
    <t>Produk WJ</t>
  </si>
  <si>
    <t>V1B4106</t>
  </si>
  <si>
    <t>2EIWAD-O</t>
  </si>
  <si>
    <t>Alarm Speed FP-500</t>
  </si>
  <si>
    <t>Speed Turun dari 27.40 ---&gt; 27.33</t>
  </si>
  <si>
    <t>Speed FP-500 di Normalin</t>
  </si>
  <si>
    <t>12A4109</t>
  </si>
  <si>
    <t>Speed Turun dari 27.43 ---&gt; 27.30</t>
  </si>
  <si>
    <t>Speed Alarm di Normalin Lagi</t>
  </si>
  <si>
    <t>Keramik Air Wiper Copot</t>
  </si>
  <si>
    <t>Keramik Air Wiper di Finish Capstand Inline Tidak Ada / Copot</t>
  </si>
  <si>
    <t>Pass Line / Adjust Pakai Felt Setelah Final Capstand Inline</t>
  </si>
  <si>
    <t>V9B4111</t>
  </si>
  <si>
    <t>001 / 002</t>
  </si>
  <si>
    <t>D2DSW2</t>
  </si>
  <si>
    <t>HAMADEN</t>
  </si>
  <si>
    <t>Scratch Coating</t>
  </si>
  <si>
    <t>Siwa Dies Coat &amp; Cleaning Checking Dies</t>
  </si>
  <si>
    <t>V4A4116</t>
  </si>
  <si>
    <t>PRODUK DISCRAP</t>
  </si>
  <si>
    <t>Rotary &amp; Siwa Dies Coat</t>
  </si>
  <si>
    <t>11A4116</t>
  </si>
  <si>
    <t>4 / 3.4</t>
  </si>
  <si>
    <t>1HGZ-MA</t>
  </si>
  <si>
    <t>LAMCOR</t>
  </si>
  <si>
    <t>OD CD Small</t>
  </si>
  <si>
    <t>Adjust Tension</t>
  </si>
  <si>
    <t>V6A4117</t>
  </si>
  <si>
    <t>SE Small OD</t>
  </si>
  <si>
    <t>Adjust Tension (Check Pass Line)</t>
  </si>
  <si>
    <t>003 / 004</t>
  </si>
  <si>
    <t>5 / 5</t>
  </si>
  <si>
    <t>005</t>
  </si>
  <si>
    <t>Hempei CD &amp; CD Kecil</t>
  </si>
  <si>
    <t>V9B4116</t>
  </si>
  <si>
    <t>002 / 003</t>
  </si>
  <si>
    <t>6 / 6</t>
  </si>
  <si>
    <t>D2IDW-4-B-2</t>
  </si>
  <si>
    <t>Ada Sampah</t>
  </si>
  <si>
    <t>V4B4111</t>
  </si>
  <si>
    <t>Gulungan Silang</t>
  </si>
  <si>
    <t>V9B4120</t>
  </si>
  <si>
    <t>2EIWAD</t>
  </si>
  <si>
    <t>MEAINA</t>
  </si>
  <si>
    <t>Bad Winding</t>
  </si>
  <si>
    <t>Fp</t>
  </si>
  <si>
    <t>V6B4116</t>
  </si>
  <si>
    <t>Adjust Traverse</t>
  </si>
  <si>
    <t>V4A4117</t>
  </si>
  <si>
    <t>D2-IDW-2-2</t>
  </si>
  <si>
    <t>Suppy Air Wiper Mati</t>
  </si>
  <si>
    <t>Root Blower Mati</t>
  </si>
  <si>
    <t>H2B4104</t>
  </si>
  <si>
    <t>Root Blower Annealer 'Trip' (Oc) &amp; Reset &amp; Adjust Inverter</t>
  </si>
  <si>
    <t>Tension Kendor Karena Gulungan Full Winding</t>
  </si>
  <si>
    <t>Set Tension Tiap Akan Full Winding</t>
  </si>
  <si>
    <t>H1A4115</t>
  </si>
  <si>
    <t>3 / 4 / 5</t>
  </si>
  <si>
    <t>ECC Big</t>
  </si>
  <si>
    <t>Dies Kotor</t>
  </si>
  <si>
    <t xml:space="preserve">Ganti Dies </t>
  </si>
  <si>
    <t>H1B4116</t>
  </si>
  <si>
    <t>Ganti Dies Coating</t>
  </si>
  <si>
    <t>H1B4114</t>
  </si>
  <si>
    <t>Tension WS Low</t>
  </si>
  <si>
    <t>Adjust T/U Tension Side B</t>
  </si>
  <si>
    <t>H1B4117</t>
  </si>
  <si>
    <t xml:space="preserve">Adjust T/U Tension </t>
  </si>
  <si>
    <t>H2A4117</t>
  </si>
  <si>
    <t>H1A4116</t>
  </si>
  <si>
    <t>OD &amp; CD Big</t>
  </si>
  <si>
    <t>Ganti Dies Coating &amp; Adjust T/U Tension</t>
  </si>
  <si>
    <t>H1A4114</t>
  </si>
  <si>
    <t>Dies Kotor &amp; Centering Sheave</t>
  </si>
  <si>
    <t>Ganti Dies Coating Lagi 1set</t>
  </si>
  <si>
    <t>Ganti Dies Coating 1set &amp; Centering Sheave</t>
  </si>
  <si>
    <t>H1B4118</t>
  </si>
  <si>
    <t>Siwa Dies Coating, Rotary Dies Inline &amp; Cleaning CD</t>
  </si>
  <si>
    <t>11B4117 / 11B4118</t>
  </si>
  <si>
    <t>004 / 001</t>
  </si>
  <si>
    <t>4 / 2</t>
  </si>
  <si>
    <t>Wire Break Di Partisi Besi</t>
  </si>
  <si>
    <t>Maish Diinvestigasi</t>
  </si>
  <si>
    <r>
      <t>Pass Line No. 5Dibetulkan ---&gt; 5</t>
    </r>
    <r>
      <rPr>
        <sz val="10"/>
        <rFont val="Calibri"/>
        <family val="2"/>
      </rPr>
      <t>°</t>
    </r>
    <r>
      <rPr>
        <sz val="10"/>
        <rFont val="Calibri"/>
        <family val="2"/>
        <scheme val="minor"/>
      </rPr>
      <t>C</t>
    </r>
  </si>
  <si>
    <t>H1A4118 S/D H1A4122</t>
  </si>
  <si>
    <t>Grinding Sratch</t>
  </si>
  <si>
    <t>V4A4119</t>
  </si>
  <si>
    <t>3</t>
  </si>
  <si>
    <t>D2-IDW-4E</t>
  </si>
  <si>
    <t>DENSO FAJAR</t>
  </si>
  <si>
    <t>Size Turun</t>
  </si>
  <si>
    <t>Siwa Die Coating</t>
  </si>
  <si>
    <t>11A4124</t>
  </si>
  <si>
    <t>4</t>
  </si>
  <si>
    <t>Next T/U Ok</t>
  </si>
  <si>
    <t>VOB4125</t>
  </si>
  <si>
    <t>D1-PEW-B-2T</t>
  </si>
  <si>
    <t>Wire Break</t>
  </si>
  <si>
    <t>LS</t>
  </si>
  <si>
    <t>VOA4120</t>
  </si>
  <si>
    <t>004</t>
  </si>
  <si>
    <t xml:space="preserve">Tension Side A Kendor </t>
  </si>
  <si>
    <t>H1B4122</t>
  </si>
  <si>
    <t>Ganti Dies Coating Lagi &amp; CenteringUlang</t>
  </si>
  <si>
    <t>1-ATZ-300</t>
  </si>
  <si>
    <t>YEID</t>
  </si>
  <si>
    <t>Warna Belang - Belang</t>
  </si>
  <si>
    <t>Dies Coating Up</t>
  </si>
  <si>
    <t>Rotary Dies Coating</t>
  </si>
  <si>
    <t>V9A4119</t>
  </si>
  <si>
    <t>2</t>
  </si>
  <si>
    <t>App NG</t>
  </si>
  <si>
    <t>BW Bottom Drum</t>
  </si>
  <si>
    <t>No Action Last T/U Production to PM</t>
  </si>
  <si>
    <t>H1A4107</t>
  </si>
  <si>
    <r>
      <t>Temperature Sub Heater Anneal 2 Turun 20</t>
    </r>
    <r>
      <rPr>
        <sz val="10"/>
        <rFont val="Calibri"/>
        <family val="2"/>
      </rPr>
      <t>°</t>
    </r>
  </si>
  <si>
    <t>Switch Sub Steam Heater Off On</t>
  </si>
  <si>
    <t>V6A4122</t>
  </si>
  <si>
    <t>11B4122</t>
  </si>
  <si>
    <t>Banyak Parafin</t>
  </si>
  <si>
    <t>Cleaning Sheave</t>
  </si>
  <si>
    <t>11B4125</t>
  </si>
  <si>
    <t>1-UTZ</t>
  </si>
  <si>
    <t>NDKI</t>
  </si>
  <si>
    <t>CD Small</t>
  </si>
  <si>
    <t>H2A4122</t>
  </si>
  <si>
    <t>001 / 002 / 003 / 004</t>
  </si>
  <si>
    <t>Varnish Over Habis</t>
  </si>
  <si>
    <t>Supply &amp; Alarm Tidak Berfungsi</t>
  </si>
  <si>
    <t xml:space="preserve">Check All Stick Sensor Active &amp; Cleaning Stick Sensor </t>
  </si>
  <si>
    <t>H2B4117</t>
  </si>
  <si>
    <t>Varnish Middle Ngejel</t>
  </si>
  <si>
    <t>Akumulasi Varnish 1 &amp; Berbusa</t>
  </si>
  <si>
    <t>Mc Stop, Cleaning Varnish Middle &amp; Tray Applicator Middle Dimodif</t>
  </si>
  <si>
    <t>H1B4126</t>
  </si>
  <si>
    <t>2 S/D 5</t>
  </si>
  <si>
    <t>OD Small</t>
  </si>
  <si>
    <t>Mc Stop &amp; Cleaning Varnish</t>
  </si>
  <si>
    <t>2-AIW</t>
  </si>
  <si>
    <t>HITACHI ASTEMO</t>
  </si>
  <si>
    <t>Ganti Set Dies</t>
  </si>
  <si>
    <t>H764126</t>
  </si>
  <si>
    <t>2AIWP</t>
  </si>
  <si>
    <t>CD Big &amp; Hempei</t>
  </si>
  <si>
    <t>T/U Putus Saat Ganti Dies</t>
  </si>
  <si>
    <t>Ganti Finish Dies Inline</t>
  </si>
  <si>
    <t>H2B4127</t>
  </si>
  <si>
    <t>4 / 5</t>
  </si>
  <si>
    <t>Mc Inline No 4 Mulai Berisik</t>
  </si>
  <si>
    <t xml:space="preserve">Mc Stop Cn 4 </t>
  </si>
  <si>
    <t>H1A4127</t>
  </si>
  <si>
    <t>T/U Tension Kenceng</t>
  </si>
  <si>
    <t>Setting T/U Tension Winding</t>
  </si>
  <si>
    <t>H1A4125</t>
  </si>
  <si>
    <t>CD Big</t>
  </si>
  <si>
    <t>Finish Dies Kotor</t>
  </si>
  <si>
    <t>Change FD Inline Lagi</t>
  </si>
  <si>
    <t>H2B4128</t>
  </si>
  <si>
    <t>MEAA-OH</t>
  </si>
  <si>
    <t>Fluktuasi Turn Table</t>
  </si>
  <si>
    <t>Turn Table Fluktuasi</t>
  </si>
  <si>
    <t>V6B4211</t>
  </si>
  <si>
    <t>Fluktuasi Speed Capstand FP-500</t>
  </si>
  <si>
    <t>Adjust Speed ke Standard</t>
  </si>
  <si>
    <t>V6B4206</t>
  </si>
  <si>
    <t>1</t>
  </si>
  <si>
    <t>META</t>
  </si>
  <si>
    <t>Speed CP-500 Alarm</t>
  </si>
  <si>
    <t>Speed CP-500 Bunyi Alarm</t>
  </si>
  <si>
    <t>Speed Disetting Ulang</t>
  </si>
  <si>
    <t>12A4210</t>
  </si>
  <si>
    <t>V6B4209</t>
  </si>
  <si>
    <t>WS Fluktuasi</t>
  </si>
  <si>
    <t>V6B4208</t>
  </si>
  <si>
    <t>Alarm Fluktuasi Turn Table</t>
  </si>
  <si>
    <t>WS FP-500 Turun / Naik Sendiri</t>
  </si>
  <si>
    <t>Adjust WS FP-500 ke Standard</t>
  </si>
  <si>
    <t>V6B4210</t>
  </si>
  <si>
    <t>Fluktuasi</t>
  </si>
  <si>
    <t>Perbaikan MTN</t>
  </si>
  <si>
    <t>1AIWP</t>
  </si>
  <si>
    <t>Temperature Annealer Mati</t>
  </si>
  <si>
    <t>V8A4205</t>
  </si>
  <si>
    <t>Varnish Luber</t>
  </si>
  <si>
    <t>Valve Supply Varnish Dikecilin</t>
  </si>
  <si>
    <t>V9A4206</t>
  </si>
  <si>
    <t>1 S/D 7</t>
  </si>
  <si>
    <t>Gulungan Keluar</t>
  </si>
  <si>
    <t>12A4206</t>
  </si>
  <si>
    <t>V9B4206</t>
  </si>
  <si>
    <t>Thickness Small</t>
  </si>
  <si>
    <t>V9A4202</t>
  </si>
  <si>
    <t>Adjust WS FP-500</t>
  </si>
  <si>
    <t>Middle Coat Small</t>
  </si>
  <si>
    <t>V9B4209</t>
  </si>
  <si>
    <t>T3-EIWAD</t>
  </si>
  <si>
    <t>WIN-A</t>
  </si>
  <si>
    <t>Horiba Small</t>
  </si>
  <si>
    <t>V4A4221</t>
  </si>
  <si>
    <t>WS Coater Kurang Tinggi</t>
  </si>
  <si>
    <t>WS Roll Coater Dinaikkan 3.90 ---&gt; 4.40</t>
  </si>
  <si>
    <t>VOB4221</t>
  </si>
  <si>
    <t>1 S/D 5 / 1 S/D 5</t>
  </si>
  <si>
    <t>V9A4221</t>
  </si>
  <si>
    <t>1 S/D 9</t>
  </si>
  <si>
    <t>Roll Coater Speed Kurang Tinggi</t>
  </si>
  <si>
    <t>Roll Coater Dinaikkan 4.0 ---&gt; 4.2</t>
  </si>
  <si>
    <t>VOA4221</t>
  </si>
  <si>
    <t xml:space="preserve">003 / 004 </t>
  </si>
  <si>
    <t>WS Turn Table Fluktuasi</t>
  </si>
  <si>
    <t>Adjust WS Turn Table</t>
  </si>
  <si>
    <t>V6B4216</t>
  </si>
  <si>
    <t>V6B4213</t>
  </si>
  <si>
    <t>WS Turn Table Naik Turun Sendiri</t>
  </si>
  <si>
    <t>Adjust WS Turn Table ke Setting Awal 18.5</t>
  </si>
  <si>
    <t>WS Turn Table Naik</t>
  </si>
  <si>
    <t>V6B4215</t>
  </si>
  <si>
    <t>Adjust Turn Table</t>
  </si>
  <si>
    <t>V6B4217</t>
  </si>
  <si>
    <t>001 / 001</t>
  </si>
  <si>
    <t>V6B4218</t>
  </si>
  <si>
    <t>V6B4219</t>
  </si>
  <si>
    <t>Supply Waterbath Mati</t>
  </si>
  <si>
    <t>V9B4213</t>
  </si>
  <si>
    <t>WS Roll Coater Dinaikkan 0.5 (4.0 ---&gt; 4.5)</t>
  </si>
  <si>
    <t>V9A4219</t>
  </si>
  <si>
    <t>1 / 1</t>
  </si>
  <si>
    <t>6 / 1</t>
  </si>
  <si>
    <t>Waterbath Off</t>
  </si>
  <si>
    <t>Repair Supply By Leader</t>
  </si>
  <si>
    <t>V4B4212</t>
  </si>
  <si>
    <t>Produk Sanka (Alarm)</t>
  </si>
  <si>
    <t>Supply Dinyalakan</t>
  </si>
  <si>
    <t>11B4212</t>
  </si>
  <si>
    <t>Waterbath Supply Mati</t>
  </si>
  <si>
    <t>11A4213</t>
  </si>
  <si>
    <t>All</t>
  </si>
  <si>
    <t>Dakon &amp; Gulungan Silang</t>
  </si>
  <si>
    <t>V9B4201</t>
  </si>
  <si>
    <t>App Sure</t>
  </si>
  <si>
    <t>Change Finish Dies Inline</t>
  </si>
  <si>
    <t>11A4201</t>
  </si>
  <si>
    <t>001 / 004</t>
  </si>
  <si>
    <t>Masih Monitor MTN</t>
  </si>
  <si>
    <t>Set WS Turn Table</t>
  </si>
  <si>
    <t>V6B4214</t>
  </si>
  <si>
    <t>V6B4212</t>
  </si>
  <si>
    <t>Tambah Level Oil</t>
  </si>
  <si>
    <t>VOA4218</t>
  </si>
  <si>
    <t>Ovality CD Big</t>
  </si>
  <si>
    <t>Change Dies Inline Cn 5 1set</t>
  </si>
  <si>
    <t>11B4213</t>
  </si>
  <si>
    <t>Varnish Kering</t>
  </si>
  <si>
    <t>Adjust Supply Varnish</t>
  </si>
  <si>
    <t>V9A4208</t>
  </si>
  <si>
    <t>1.2.3.5.6.7.8</t>
  </si>
  <si>
    <t>Middle Coat Kecil &amp; OD Small</t>
  </si>
  <si>
    <t>Siwa Dies Coating</t>
  </si>
  <si>
    <t>1.2.4.5</t>
  </si>
  <si>
    <t>V6A4210</t>
  </si>
  <si>
    <t>Adjust Roller Before Roll Coater SPB-200 Oil</t>
  </si>
  <si>
    <t>V9A4220</t>
  </si>
  <si>
    <t>1 S/D 9 / 1 S/D 9</t>
  </si>
  <si>
    <t>WS Roll Coater Dinaikkan 3.5 ---&gt; 4.0</t>
  </si>
  <si>
    <t>VOA4220</t>
  </si>
  <si>
    <t>11B4220</t>
  </si>
  <si>
    <t>2-ATZ-300</t>
  </si>
  <si>
    <t>HITACHI CHENNAI</t>
  </si>
  <si>
    <t>Reel Pecah</t>
  </si>
  <si>
    <t>Seret (Susah Untuk Pasang Spool)</t>
  </si>
  <si>
    <t>Check Saat Pasang Spool</t>
  </si>
  <si>
    <t>H5A4221</t>
  </si>
  <si>
    <t>2DHWH</t>
  </si>
  <si>
    <t>Setting Bandul Tension</t>
  </si>
  <si>
    <t>H5A4216</t>
  </si>
  <si>
    <t>Set Tension Side A</t>
  </si>
  <si>
    <t>H1A4216</t>
  </si>
  <si>
    <t>Supply Varnish Over ''Small''</t>
  </si>
  <si>
    <t>Varnish Diover Coating Aplicator Banyak Gel</t>
  </si>
  <si>
    <t>- Varnish Dikurang - Sirkulasi Aplicator Over dengan Solvent</t>
  </si>
  <si>
    <t>H1A4218</t>
  </si>
  <si>
    <t>CD Scratch</t>
  </si>
  <si>
    <t>Mungkin Dies Inline Kotor</t>
  </si>
  <si>
    <t>H1B4201</t>
  </si>
  <si>
    <t>OD Big &amp; ECC Big</t>
  </si>
  <si>
    <t>H1A4204</t>
  </si>
  <si>
    <t>3.4 / 4</t>
  </si>
  <si>
    <t>Hasih S/U Masih NG</t>
  </si>
  <si>
    <t>Ganti Dies Coating &amp; FD</t>
  </si>
  <si>
    <t>H1A4201</t>
  </si>
  <si>
    <t>Produk Sebelumnya Sudah Diaction Ganti Dies</t>
  </si>
  <si>
    <t>Centering Sheave</t>
  </si>
  <si>
    <t>H1A4202</t>
  </si>
  <si>
    <t>Change FD &amp; Coating Dies</t>
  </si>
  <si>
    <t>Dies Kotor &amp; Tension Kendor Karena Full Winding</t>
  </si>
  <si>
    <t>All Ganti Dies Coating</t>
  </si>
  <si>
    <t>H1A4203</t>
  </si>
  <si>
    <t>4.1 / 3</t>
  </si>
  <si>
    <t>Dies Inline Coating Sudah Lama Dipakai</t>
  </si>
  <si>
    <t>Dies Inline &amp; Coating BW Diganti</t>
  </si>
  <si>
    <t>H1A4131</t>
  </si>
  <si>
    <t>002 / 001</t>
  </si>
  <si>
    <t>3 / 1</t>
  </si>
  <si>
    <t>Sudah Ganti Dies Coating &amp; Inline</t>
  </si>
  <si>
    <t>Change Dies Coating</t>
  </si>
  <si>
    <t>H1A4209</t>
  </si>
  <si>
    <t>OD Big, OD Small &amp; ECC Big</t>
  </si>
  <si>
    <t>Dies Coating Kotor No. 1 &amp; Dies Inline Kotor No. 3</t>
  </si>
  <si>
    <t>Ganti Semua Dies Coating &amp; Adjust T/U Tension No. 1</t>
  </si>
  <si>
    <t>H1A4210</t>
  </si>
  <si>
    <t>Dies T/U Tension Kendor</t>
  </si>
  <si>
    <t>OD &amp; ECC Big, OD &amp; CD Small</t>
  </si>
  <si>
    <t>Sudah Setting Tension Dinaikkan &amp; Ganti Dies</t>
  </si>
  <si>
    <t>Setting Tension --&gt; OD</t>
  </si>
  <si>
    <t>H1B4211</t>
  </si>
  <si>
    <t>OD &amp; Ovality &amp; ECC Big</t>
  </si>
  <si>
    <t>Dies Coating Sudah Kotor</t>
  </si>
  <si>
    <t>Sudah Ditangani</t>
  </si>
  <si>
    <t>H1B4206</t>
  </si>
  <si>
    <t>2AIW</t>
  </si>
  <si>
    <t>Sudah Setting Tension &amp; Change Step Dies Coating</t>
  </si>
  <si>
    <t>H5A4209</t>
  </si>
  <si>
    <t>001 / 002 / 003</t>
  </si>
  <si>
    <t>001 / 003</t>
  </si>
  <si>
    <t>MAPI</t>
  </si>
  <si>
    <t>001 S/D 006</t>
  </si>
  <si>
    <t>Hempei CD Small &amp; ECC Big</t>
  </si>
  <si>
    <t>Dies Coating &amp; Dies Inline Kotor</t>
  </si>
  <si>
    <t>Ganti Finish Dies, Ganti Dies Coat &amp; Centering Middle Coat</t>
  </si>
  <si>
    <t>H1B4202</t>
  </si>
  <si>
    <t>Ganti Dies Coating Inline &amp; Centering Sheave</t>
  </si>
  <si>
    <t>Tension Kendor &amp; Produk Action Lot Sebelumnya ECC Big</t>
  </si>
  <si>
    <t>H1B4203</t>
  </si>
  <si>
    <t xml:space="preserve">Segala Cara &amp; Action Sudah Dilakukan </t>
  </si>
  <si>
    <t>H1A4211</t>
  </si>
  <si>
    <t>Dies Sudah Diganti Masih Saja NG</t>
  </si>
  <si>
    <t>Siwa &amp; Ganti Dies Coating Lagi</t>
  </si>
  <si>
    <t>H1A4208</t>
  </si>
  <si>
    <t>1 / 3</t>
  </si>
  <si>
    <t>Centering Ulang</t>
  </si>
  <si>
    <t>H1A4207</t>
  </si>
  <si>
    <t>Change Step Dies By PE</t>
  </si>
  <si>
    <t>Dies Coating, Dies Inline &amp; Sheave Middle Mungkin Sudah Kotor</t>
  </si>
  <si>
    <t>Ganti Lagi Dies Coating, Inline &amp; Geser Sheave</t>
  </si>
  <si>
    <t>Advance Sample</t>
  </si>
  <si>
    <t>Ganti Coating Dies No. 1 &amp; Ganti Dies Coating &amp; Inline No.3</t>
  </si>
  <si>
    <t>H1A4206</t>
  </si>
  <si>
    <t>1.3 / 1</t>
  </si>
  <si>
    <t>Dies Coating Sudah Kotor Seminggu Running</t>
  </si>
  <si>
    <t>Set Tension &amp; Ganti Dies Coating</t>
  </si>
  <si>
    <t>H1A4205</t>
  </si>
  <si>
    <t>H2A4213</t>
  </si>
  <si>
    <t xml:space="preserve">Wire Crossing di Capstand Inline </t>
  </si>
  <si>
    <t xml:space="preserve">Check Pass Line Inline &amp; Wire Crossing di Capstand Inline </t>
  </si>
  <si>
    <t>002 / 003 / 004 / 005</t>
  </si>
  <si>
    <t>Check Wire &amp; Dibetulkan</t>
  </si>
  <si>
    <t>H2A4212</t>
  </si>
  <si>
    <t>OD Big &amp; Blister</t>
  </si>
  <si>
    <t>Vibrasi Untuk Blister Tension Kuat</t>
  </si>
  <si>
    <t>H2B4202</t>
  </si>
  <si>
    <t>001 / 002 / 003 / 005 / 006</t>
  </si>
  <si>
    <t>Mc Inline Berisik Sehingga Vibrasi</t>
  </si>
  <si>
    <t>Check Mc By MTN</t>
  </si>
  <si>
    <t>H2B4203</t>
  </si>
  <si>
    <t>11B4223</t>
  </si>
  <si>
    <t>V9B4225</t>
  </si>
  <si>
    <t>1PEW</t>
  </si>
  <si>
    <t>SEI-OEM</t>
  </si>
  <si>
    <t>12B4224</t>
  </si>
  <si>
    <t>015</t>
  </si>
  <si>
    <t>Varnish Gel</t>
  </si>
  <si>
    <t>Cleaning Varnish di Aplicator Box</t>
  </si>
  <si>
    <t>D2IDW4A-1</t>
  </si>
  <si>
    <t>TACI</t>
  </si>
  <si>
    <t xml:space="preserve">Kena Tetesan Air Hujan </t>
  </si>
  <si>
    <t>Atap Bocor</t>
  </si>
  <si>
    <t>Pindahkan Produk ke Area yang Tidak Bocor</t>
  </si>
  <si>
    <t>V8C4218</t>
  </si>
  <si>
    <t>001/ 004 / 006 /  009</t>
  </si>
  <si>
    <t>1 S/D 3</t>
  </si>
  <si>
    <t xml:space="preserve">Produk Kena Air Hujan </t>
  </si>
  <si>
    <t>Pindahkan Produk</t>
  </si>
  <si>
    <t>VOB4216</t>
  </si>
  <si>
    <t>TakeOut Varnish &amp; Cleaning Box &amp; Siwa</t>
  </si>
  <si>
    <t>V9B4223</t>
  </si>
  <si>
    <t>App Mera Kasar</t>
  </si>
  <si>
    <t>Varnish Banyak Gel</t>
  </si>
  <si>
    <t>TakeOut Varnish &amp; Cleaning &amp; Siwa Dies Coating</t>
  </si>
  <si>
    <t>1.2.3.4.5</t>
  </si>
  <si>
    <t>Alarm Fluktuasi</t>
  </si>
  <si>
    <t>V6B4222</t>
  </si>
  <si>
    <t>V6B4224</t>
  </si>
  <si>
    <t>Adjust Turn Table Speed</t>
  </si>
  <si>
    <t>V6B4221</t>
  </si>
  <si>
    <t>Gulungan  Silang</t>
  </si>
  <si>
    <t>V8B4221</t>
  </si>
  <si>
    <t>11B4207</t>
  </si>
  <si>
    <t>VOB4225</t>
  </si>
  <si>
    <t>11B4225</t>
  </si>
  <si>
    <t>Alarm Laser Micro</t>
  </si>
  <si>
    <t>11B4216</t>
  </si>
  <si>
    <t>CD Kecil &amp; Hempei</t>
  </si>
  <si>
    <t>Check Pass Line &amp; Adjust Tension</t>
  </si>
  <si>
    <t>12B4223</t>
  </si>
  <si>
    <t>011.012.013.014 / 015</t>
  </si>
  <si>
    <t>5 / 1</t>
  </si>
  <si>
    <t>V8A4224</t>
  </si>
  <si>
    <t>PrintOut Data Tidak Ada</t>
  </si>
  <si>
    <t>Roll Paper / Kertas Macet. Kondisi Roll Paper Kertas Tinggal Sedikit</t>
  </si>
  <si>
    <t>Ganti Roll Paper Baru</t>
  </si>
  <si>
    <t>VOB4224</t>
  </si>
  <si>
    <t>3.4.5</t>
  </si>
  <si>
    <t>CD Small &amp; Hempei</t>
  </si>
  <si>
    <t>001 / 002.003.004.005.006</t>
  </si>
  <si>
    <t>3.5 / 5</t>
  </si>
  <si>
    <t>Blister &amp; CD Hempei</t>
  </si>
  <si>
    <t>Siwa Dies Coating &amp; Ganti Felt Oil</t>
  </si>
  <si>
    <t>V8A4223</t>
  </si>
  <si>
    <t>009 / 010</t>
  </si>
  <si>
    <t>App Bad Winding</t>
  </si>
  <si>
    <t>Traverse Winding Kurang Naik</t>
  </si>
  <si>
    <t>Check &amp; Analisa By MTN</t>
  </si>
  <si>
    <t>H1A4223</t>
  </si>
  <si>
    <t>Tension Kendor Karena Full Winding</t>
  </si>
  <si>
    <t>Setting Tension T/U 'A &amp; B'</t>
  </si>
  <si>
    <t>H1A4225</t>
  </si>
  <si>
    <t>Belum Ganti Susunan Dies Step</t>
  </si>
  <si>
    <t>Tension Sudah Ditambah Side A</t>
  </si>
  <si>
    <t>H11A4222</t>
  </si>
  <si>
    <t>Laser Micro Chersa CH &amp; QI. Hasil Check Punya QI Lebih Besar</t>
  </si>
  <si>
    <t xml:space="preserve">Hasil Laser Micro Harus Disamakan </t>
  </si>
  <si>
    <t>H1A4221</t>
  </si>
  <si>
    <t>Dies Coating &amp; Sheave</t>
  </si>
  <si>
    <t>Ganti Dies Coating &amp; Sheave Digeser</t>
  </si>
  <si>
    <t>Tension Mulai Kendor</t>
  </si>
  <si>
    <t>H774222</t>
  </si>
  <si>
    <t>Spool Pecah Bagian Bawah</t>
  </si>
  <si>
    <t>Pasak Ukurannya Lebih Besar Diameternya &amp; Lubang Spool Kecil</t>
  </si>
  <si>
    <t>Side A Dipasang</t>
  </si>
  <si>
    <t>H5B4221</t>
  </si>
  <si>
    <t>014</t>
  </si>
  <si>
    <t>ECC Big &amp; BW Scratch</t>
  </si>
  <si>
    <t>Ganti Dies &amp; Geser Sheave</t>
  </si>
  <si>
    <t>1 / 3 / 5</t>
  </si>
  <si>
    <t>Wire di Capstand Crazing</t>
  </si>
  <si>
    <t>Check Pass Line Inline, Wire Crossing di Capstand Inline</t>
  </si>
  <si>
    <t>Switch Panel Off</t>
  </si>
  <si>
    <r>
      <t xml:space="preserve">Produk LS </t>
    </r>
    <r>
      <rPr>
        <sz val="10"/>
        <rFont val="Calibri"/>
        <family val="2"/>
      </rPr>
      <t>±</t>
    </r>
    <r>
      <rPr>
        <sz val="11.5"/>
        <rFont val="Calibri"/>
        <family val="2"/>
      </rPr>
      <t xml:space="preserve"> </t>
    </r>
    <r>
      <rPr>
        <sz val="10"/>
        <rFont val="Calibri"/>
        <family val="2"/>
      </rPr>
      <t>10kg</t>
    </r>
  </si>
  <si>
    <t>V8C4226</t>
  </si>
  <si>
    <t>1.2.3</t>
  </si>
  <si>
    <t>Wire Crossing di Capstand Inline</t>
  </si>
  <si>
    <t>Spool Pecah</t>
  </si>
  <si>
    <t>Masih Dianalisa, Kemungkinan Bahan Reel Kurang Baik &amp; Baru Pertama Produksi</t>
  </si>
  <si>
    <t>Check Kondisi T/U</t>
  </si>
  <si>
    <t>002 / 005 / 007 / 012</t>
  </si>
  <si>
    <t>Material Spool Kurang Bagus</t>
  </si>
  <si>
    <t>Check Lot Setelahnya</t>
  </si>
  <si>
    <t>H5B4220</t>
  </si>
  <si>
    <t>005 / 007 / 008</t>
  </si>
  <si>
    <t>Check Part Pasak di T/U Winding &amp; Trial Reel yang Sama</t>
  </si>
  <si>
    <t>H5A4222</t>
  </si>
  <si>
    <t>003 / 007 / 009 / 010 / 011</t>
  </si>
  <si>
    <t>H5A4220</t>
  </si>
  <si>
    <t>001 / 006 / 007</t>
  </si>
  <si>
    <t>H5B4222</t>
  </si>
  <si>
    <t>003 / 004 / 007</t>
  </si>
  <si>
    <t>001 / 007 / 009 /012</t>
  </si>
  <si>
    <t>002 / 003 / 005</t>
  </si>
  <si>
    <t>4 / 1 / 2</t>
  </si>
  <si>
    <t>V8A4228</t>
  </si>
  <si>
    <t>2EIWAD-P</t>
  </si>
  <si>
    <t>V6A4312</t>
  </si>
  <si>
    <t>CD Big &amp; Coating Thickness Kecil</t>
  </si>
  <si>
    <t>V9B4312</t>
  </si>
  <si>
    <t>0FBWCC</t>
  </si>
  <si>
    <t>V9A4314</t>
  </si>
  <si>
    <t>Tidak Tahu</t>
  </si>
  <si>
    <t>- Rotary Inline Dies - Siwa Dies Coating</t>
  </si>
  <si>
    <t>VOA4311</t>
  </si>
  <si>
    <t>11A4311</t>
  </si>
  <si>
    <t>Wire Nyangkut Disambungan CP-500</t>
  </si>
  <si>
    <t>Adjust New Lite Supply CP-500</t>
  </si>
  <si>
    <t>12A4312</t>
  </si>
  <si>
    <t>Cleaning Parafin di Sheave Winding</t>
  </si>
  <si>
    <t>11B4305</t>
  </si>
  <si>
    <t>1AIW</t>
  </si>
  <si>
    <t>- Rotary Dies Inline - TakeOut Varnish - Siwa Dies Coating - Cleaning CD</t>
  </si>
  <si>
    <t>V8B4306</t>
  </si>
  <si>
    <t>Blister Kecil - Kecil</t>
  </si>
  <si>
    <t>- Rotary Dies Inline - TakeOut Varnish - Siwa &amp; Cleaning CD</t>
  </si>
  <si>
    <t>V8B4307</t>
  </si>
  <si>
    <t>Alarm Laer Micro</t>
  </si>
  <si>
    <t>- Siwa - Rotary Dies Inline - Rotary Dies Coat</t>
  </si>
  <si>
    <t>11A4303</t>
  </si>
  <si>
    <t>Ovality OD Big</t>
  </si>
  <si>
    <t>- Siwa - Rotary Inline &amp; Dies Coating</t>
  </si>
  <si>
    <t>11A4302</t>
  </si>
  <si>
    <t>Hot Zat Belum di On</t>
  </si>
  <si>
    <t>Hot Zat di Onkan</t>
  </si>
  <si>
    <t>All Course</t>
  </si>
  <si>
    <t>V8D4309</t>
  </si>
  <si>
    <t>Cleaning Sheave T/U</t>
  </si>
  <si>
    <t>11B4308</t>
  </si>
  <si>
    <t>Michaku NG</t>
  </si>
  <si>
    <r>
      <t>- Temperature Annealer II -20</t>
    </r>
    <r>
      <rPr>
        <sz val="10"/>
        <rFont val="Calibri"/>
        <family val="2"/>
      </rPr>
      <t>°</t>
    </r>
    <r>
      <rPr>
        <sz val="11.5"/>
        <rFont val="Calibri"/>
        <family val="2"/>
      </rPr>
      <t xml:space="preserve"> - </t>
    </r>
    <r>
      <rPr>
        <sz val="10"/>
        <rFont val="Calibri"/>
        <family val="2"/>
      </rPr>
      <t>Temperature Hotdet +20°</t>
    </r>
  </si>
  <si>
    <t>V9A4311</t>
  </si>
  <si>
    <t>Temperature Pressure Box Tinggi</t>
  </si>
  <si>
    <t>Adjust Temperature Pressure Fan</t>
  </si>
  <si>
    <t>V8A4308</t>
  </si>
  <si>
    <t>1.2.3.4.5.6</t>
  </si>
  <si>
    <t>Varnish Kering (Under)</t>
  </si>
  <si>
    <t>Tutup Buka Valve</t>
  </si>
  <si>
    <t>V9A4306</t>
  </si>
  <si>
    <t>1.2.3.4.5.6.7</t>
  </si>
  <si>
    <t>Remove Bonding Small</t>
  </si>
  <si>
    <t>Sebelum Re-Start Up Ada Masalah Varnish Under Coating Kering</t>
  </si>
  <si>
    <t>Siwa Dies Coating &amp; Cleaning Dies Under Coating</t>
  </si>
  <si>
    <t>1.2.3.4.7</t>
  </si>
  <si>
    <t>V6B4307</t>
  </si>
  <si>
    <t>Alarm Turn Table</t>
  </si>
  <si>
    <t>Wire Speed Turn Table Fluktuasi</t>
  </si>
  <si>
    <t>Repair Wire Speed Turn Table By MTN</t>
  </si>
  <si>
    <t>V6B4311</t>
  </si>
  <si>
    <t>V6B4309</t>
  </si>
  <si>
    <t>V6B4308</t>
  </si>
  <si>
    <t>2.3.6</t>
  </si>
  <si>
    <t>WIN-A (AMC)</t>
  </si>
  <si>
    <t>Varnish Over Kering</t>
  </si>
  <si>
    <t>V4A4306</t>
  </si>
  <si>
    <t>Adjust T/U Tension Side A</t>
  </si>
  <si>
    <t>H1A4302</t>
  </si>
  <si>
    <t>OD Big &amp; CD Big</t>
  </si>
  <si>
    <t>- Tension - Beda Hasil Check dengan QI</t>
  </si>
  <si>
    <t>Beda Hasil Check dengan QI</t>
  </si>
  <si>
    <t>Control Slidak</t>
  </si>
  <si>
    <t>Tension Over</t>
  </si>
  <si>
    <t>Control Indikasi Slidak</t>
  </si>
  <si>
    <t>H1A4304</t>
  </si>
  <si>
    <t>Control Slidak Tension</t>
  </si>
  <si>
    <t>H2A4301</t>
  </si>
  <si>
    <t>Ganti Dies Coating Semua</t>
  </si>
  <si>
    <t>H2A4302</t>
  </si>
  <si>
    <t>Tension Kendor</t>
  </si>
  <si>
    <t>Check Indikasi</t>
  </si>
  <si>
    <t>H1A4301</t>
  </si>
  <si>
    <t>Rotary Dies</t>
  </si>
  <si>
    <t>H764307</t>
  </si>
  <si>
    <t>ECC Big (Moulding)</t>
  </si>
  <si>
    <t>Rotary &amp; Change Dies</t>
  </si>
  <si>
    <t>H764306</t>
  </si>
  <si>
    <t>Start Up</t>
  </si>
  <si>
    <t>- Beda Hasil Check - Tension Mulai Kendor</t>
  </si>
  <si>
    <t>H1A4305</t>
  </si>
  <si>
    <t>Tension Kendor (Full Winding)</t>
  </si>
  <si>
    <t>Adjust Tension Side A</t>
  </si>
  <si>
    <t>H1B4302</t>
  </si>
  <si>
    <t>D1-IDW-4</t>
  </si>
  <si>
    <t>Adjust Pass Line Inline</t>
  </si>
  <si>
    <t>12B4316</t>
  </si>
  <si>
    <t>Produk Kasar</t>
  </si>
  <si>
    <t>Wire cn 3 Numpuk di Capstand Inline Sebelum Final Dies</t>
  </si>
  <si>
    <t>Adjust Wire Line</t>
  </si>
  <si>
    <t>12B4314</t>
  </si>
  <si>
    <t>Wire Numpuk di Inline</t>
  </si>
  <si>
    <t>12B4317</t>
  </si>
  <si>
    <t>Cn 9 &amp; 10 Fibrasi Step 1</t>
  </si>
  <si>
    <t>V4A4319</t>
  </si>
  <si>
    <t>D1IDW-4-B-1</t>
  </si>
  <si>
    <t>Winding Clockwise NG</t>
  </si>
  <si>
    <t>V8A4305</t>
  </si>
  <si>
    <t>107 / 108</t>
  </si>
  <si>
    <t>V8A4306</t>
  </si>
  <si>
    <t>101 / 103 / 105</t>
  </si>
  <si>
    <t>Cleaning Parafin</t>
  </si>
  <si>
    <t>11B4316</t>
  </si>
  <si>
    <t>005 / 006</t>
  </si>
  <si>
    <t>3.5 / 2</t>
  </si>
  <si>
    <t>Powder</t>
  </si>
  <si>
    <t>- Cleaning FD - Ganti Felt Setelah Roller C-Oil - Geser / Pindah Wire Line Pada Roller C-Oil</t>
  </si>
  <si>
    <t>VOB4320</t>
  </si>
  <si>
    <t>1 S/D 5 / 2</t>
  </si>
  <si>
    <t>Putus di Line Drawing Cn 3</t>
  </si>
  <si>
    <t>Re Start Up</t>
  </si>
  <si>
    <t>1.3.4.5</t>
  </si>
  <si>
    <t>Display Temperature Error</t>
  </si>
  <si>
    <t>MTN Repair</t>
  </si>
  <si>
    <t>V9A4320</t>
  </si>
  <si>
    <t>CD Big &amp; CT Small</t>
  </si>
  <si>
    <t>DVC</t>
  </si>
  <si>
    <t>Over Weight</t>
  </si>
  <si>
    <t>Program Error</t>
  </si>
  <si>
    <t>Setting Berat Diturunkan</t>
  </si>
  <si>
    <t>H5B4308 / 09</t>
  </si>
  <si>
    <t>-</t>
  </si>
  <si>
    <t>Ujung Ekor Ada 2</t>
  </si>
  <si>
    <t>Spool Change Kurang Sempurna</t>
  </si>
  <si>
    <t>Check Winding</t>
  </si>
  <si>
    <t>H1A4315</t>
  </si>
  <si>
    <t>Set Tension</t>
  </si>
  <si>
    <t>H4B4312</t>
  </si>
  <si>
    <t>DF Small</t>
  </si>
  <si>
    <t>Temperature Masih Panas</t>
  </si>
  <si>
    <r>
      <t>Temperature Oven -10</t>
    </r>
    <r>
      <rPr>
        <sz val="10"/>
        <rFont val="Calibri"/>
        <family val="2"/>
      </rPr>
      <t>°</t>
    </r>
    <r>
      <rPr>
        <sz val="10"/>
        <rFont val="Calibri"/>
        <family val="2"/>
        <scheme val="minor"/>
      </rPr>
      <t>C</t>
    </r>
  </si>
  <si>
    <t>H4B4317</t>
  </si>
  <si>
    <t>Over Heating</t>
  </si>
  <si>
    <t>H4B4316</t>
  </si>
  <si>
    <t>Temperature Oven Terlalu Panas</t>
  </si>
  <si>
    <t>Suhu Temperature Oven Terlalu Panas</t>
  </si>
  <si>
    <t>H4A4316</t>
  </si>
  <si>
    <t>Mera</t>
  </si>
  <si>
    <t>Wire Numpuk di Capstand Inline Sebelum Final Dies</t>
  </si>
  <si>
    <t>Adjust Wire di Capstand Inline (Dibetulkan)</t>
  </si>
  <si>
    <t>12B4323</t>
  </si>
  <si>
    <t>H2B4321</t>
  </si>
  <si>
    <t>Tension Low</t>
  </si>
  <si>
    <t>Ganti Dies</t>
  </si>
  <si>
    <t>H1A4321</t>
  </si>
  <si>
    <t>Step Dies Terlalu Besar</t>
  </si>
  <si>
    <t>- Set Tension - Ganti Step Dies</t>
  </si>
  <si>
    <t>H3B4320</t>
  </si>
  <si>
    <t>002 / 003 / 004</t>
  </si>
  <si>
    <t>CD Big / CT Small</t>
  </si>
  <si>
    <t>VOB4324</t>
  </si>
  <si>
    <t>V-Belt Transfer Spool Putus</t>
  </si>
  <si>
    <t>V-Belt Putus</t>
  </si>
  <si>
    <t>Repair By MTN</t>
  </si>
  <si>
    <t>11A4323</t>
  </si>
  <si>
    <t>Print Out Macet</t>
  </si>
  <si>
    <t>Prin Out Digeser</t>
  </si>
  <si>
    <t>V9A4326</t>
  </si>
  <si>
    <t>3 S/D 7</t>
  </si>
  <si>
    <t>V9A4324</t>
  </si>
  <si>
    <t>Adjust Turn Table WS</t>
  </si>
  <si>
    <t>V6B4312</t>
  </si>
  <si>
    <t>Back Sheave Kotor</t>
  </si>
  <si>
    <t>- Cleaning Box Sheave - Pass Line</t>
  </si>
  <si>
    <t>H5A4320</t>
  </si>
  <si>
    <t>11A4329 / 30</t>
  </si>
  <si>
    <t>11A4329</t>
  </si>
  <si>
    <t>1.2.3.4</t>
  </si>
  <si>
    <t>Temperature Pressure Box Error</t>
  </si>
  <si>
    <t>Temperature Pressure Box (Base) Error</t>
  </si>
  <si>
    <t>V9A4325</t>
  </si>
  <si>
    <t>Temperature Steam Sub Heater Fluktuasi</t>
  </si>
  <si>
    <t>Heater Abnormal</t>
  </si>
  <si>
    <t>12A4323</t>
  </si>
  <si>
    <t>Tidak Ada</t>
  </si>
  <si>
    <t>11A4331 / 11A4401</t>
  </si>
  <si>
    <t>004 / 001.002</t>
  </si>
  <si>
    <t>5</t>
  </si>
  <si>
    <t>Spool Change, Produk LS</t>
  </si>
  <si>
    <t>11B4329</t>
  </si>
  <si>
    <t>Grinding BW Scratch</t>
  </si>
  <si>
    <t>Rotary Inline Dies</t>
  </si>
  <si>
    <t>V6B4329</t>
  </si>
  <si>
    <t>Grinding, Scratch</t>
  </si>
  <si>
    <t>Rotary Inline Dies ---&gt; Ganti Finish Dies</t>
  </si>
  <si>
    <t>11A4330</t>
  </si>
  <si>
    <t>Tension Terlalu Kencang</t>
  </si>
  <si>
    <t>Tension Diturunkan</t>
  </si>
  <si>
    <t>H3B4328</t>
  </si>
  <si>
    <t>Dies Step Susunan Kegedean</t>
  </si>
  <si>
    <t>Tension Ditambahkan</t>
  </si>
  <si>
    <t>H3A4328</t>
  </si>
  <si>
    <t>Mesin HeadCone Inline B2 Trouble</t>
  </si>
  <si>
    <t>Repair MTN Change Van Belt HeadCone</t>
  </si>
  <si>
    <t>V6B4429 &amp; V6B4430</t>
  </si>
  <si>
    <t>Spooler Off</t>
  </si>
  <si>
    <t>Tidak Diketahui</t>
  </si>
  <si>
    <t>Re Start Ulang / Spool Change</t>
  </si>
  <si>
    <t>VOB4430</t>
  </si>
  <si>
    <t>V6A4422</t>
  </si>
  <si>
    <t>WS Capstand Pack Fluktuasi</t>
  </si>
  <si>
    <t>Belum Diketahui</t>
  </si>
  <si>
    <t>Request ke MTN Check Capstand CP-500 Fluktuasi</t>
  </si>
  <si>
    <t>12A4421</t>
  </si>
  <si>
    <t>Ultrasonic Kecampur Lubricant</t>
  </si>
  <si>
    <t>Kuras Ultrasonic</t>
  </si>
  <si>
    <t>VOB4418</t>
  </si>
  <si>
    <t>Dies Coating Bocor</t>
  </si>
  <si>
    <r>
      <t xml:space="preserve">- Produk L/S </t>
    </r>
    <r>
      <rPr>
        <sz val="10"/>
        <rFont val="Calibri"/>
        <family val="2"/>
      </rPr>
      <t>±</t>
    </r>
    <r>
      <rPr>
        <sz val="11.5"/>
        <rFont val="Calibri"/>
        <family val="2"/>
      </rPr>
      <t xml:space="preserve"> </t>
    </r>
    <r>
      <rPr>
        <sz val="10"/>
        <rFont val="Calibri"/>
        <family val="2"/>
      </rPr>
      <t>1kg -Re Start Up - Ganti Dies Coat</t>
    </r>
  </si>
  <si>
    <t>VOB4419</t>
  </si>
  <si>
    <t>Display Size cn 5 Berbeda dengan yang Lain</t>
  </si>
  <si>
    <t>11A4401</t>
  </si>
  <si>
    <t>003 / 004 / 005</t>
  </si>
  <si>
    <t>Adjust Inline Speed</t>
  </si>
  <si>
    <t>V8A4419</t>
  </si>
  <si>
    <t>OD CD Big</t>
  </si>
  <si>
    <t>WS Inline Diturunkan 14.90 ---&gt; 14.85</t>
  </si>
  <si>
    <t>V8A4419 &amp; V8A4420</t>
  </si>
  <si>
    <t>011 / 1 S/D 9</t>
  </si>
  <si>
    <t>Salah BW Grade C</t>
  </si>
  <si>
    <t>BW Grade Salah, Seharusnya Grade S/A/B</t>
  </si>
  <si>
    <t>V6B4328</t>
  </si>
  <si>
    <t>Salah Varnish</t>
  </si>
  <si>
    <t>Std Tipe Varnish LITON 3745. Actual Varnish WH-4075-43</t>
  </si>
  <si>
    <t>Stop Produksi</t>
  </si>
  <si>
    <t>V8D4419 S/D V8D4422</t>
  </si>
  <si>
    <t>001 S/D Fp</t>
  </si>
  <si>
    <t>Pas Ganti Neru Sebelum Oven</t>
  </si>
  <si>
    <t>11B4420</t>
  </si>
  <si>
    <t>Alarm Laser Micro NG</t>
  </si>
  <si>
    <t>Change Class Laser Micro By MTN</t>
  </si>
  <si>
    <t>11A4401 / 11A4402</t>
  </si>
  <si>
    <t>006 / 001</t>
  </si>
  <si>
    <t>V9A4418</t>
  </si>
  <si>
    <t>4 &amp; 6</t>
  </si>
  <si>
    <t>Banyak Serbuk di Wire Line</t>
  </si>
  <si>
    <t>Siwa Dies Coat Step 1</t>
  </si>
  <si>
    <t>11A4423</t>
  </si>
  <si>
    <t>Temp. PB / HTA Fluktuasi</t>
  </si>
  <si>
    <t>11A4419</t>
  </si>
  <si>
    <t>Karton Tengah Penyok</t>
  </si>
  <si>
    <t>12A4426</t>
  </si>
  <si>
    <t>SE Small</t>
  </si>
  <si>
    <t>Tension Winding Terlalu Kencang</t>
  </si>
  <si>
    <t>Adjust Tension Winding</t>
  </si>
  <si>
    <t>V6B4425</t>
  </si>
  <si>
    <t>App Kusam (Kasar)</t>
  </si>
  <si>
    <t>Varnish EP 506 Netes di Guide Roll</t>
  </si>
  <si>
    <t>Cleaning Guide Roll</t>
  </si>
  <si>
    <t>V9A4424</t>
  </si>
  <si>
    <t>Speed Turn Table Alarm</t>
  </si>
  <si>
    <t>12A4428</t>
  </si>
  <si>
    <t>BW Joint Pake Grade C</t>
  </si>
  <si>
    <t>BW Belum Siap</t>
  </si>
  <si>
    <t>Cn 2 &amp; 3 Ganti Bahan dari Grade C ---&gt; A</t>
  </si>
  <si>
    <t>V8C4428</t>
  </si>
  <si>
    <t>TakeOut Tanki Varnish EP.506M</t>
  </si>
  <si>
    <t>Kondisi Varnish EP.506M Kurang Bagus / Hampir Ngejel</t>
  </si>
  <si>
    <t>V9B4428</t>
  </si>
  <si>
    <t>Antisipasi Blister</t>
  </si>
  <si>
    <t>12A4423</t>
  </si>
  <si>
    <t>Alarm Primary Coat</t>
  </si>
  <si>
    <t>V6A4427</t>
  </si>
  <si>
    <t>12A4422</t>
  </si>
  <si>
    <t>Alarm Speed</t>
  </si>
  <si>
    <t>12A4427</t>
  </si>
  <si>
    <t>WS CP Alarm</t>
  </si>
  <si>
    <t>Speed Alarm Bunyi</t>
  </si>
  <si>
    <t xml:space="preserve">Speed Alarm Naik </t>
  </si>
  <si>
    <t>Setting Ulang Speed Alarm</t>
  </si>
  <si>
    <t>Pack NG</t>
  </si>
  <si>
    <t>Tekanan Wire Mengakibatkan Karton Pack Penyok</t>
  </si>
  <si>
    <t>H1A4421</t>
  </si>
  <si>
    <t>Moulding Big ECC</t>
  </si>
  <si>
    <t xml:space="preserve">Dies Kotor </t>
  </si>
  <si>
    <t>H1A4418</t>
  </si>
  <si>
    <t>H1A4422</t>
  </si>
  <si>
    <t>Ganti Susunan Step Dies</t>
  </si>
  <si>
    <t>Speed Roll Oil Kecepatan 4.5rpm</t>
  </si>
  <si>
    <t>Sudah di Action</t>
  </si>
  <si>
    <t>H1B4416</t>
  </si>
  <si>
    <t>H3B4417</t>
  </si>
  <si>
    <t>TOYO DENSO</t>
  </si>
  <si>
    <t>App Blister</t>
  </si>
  <si>
    <t>No Alarm &amp; Tidak Ada Datanya</t>
  </si>
  <si>
    <t>Ganti Printer / Panel Blister + HVCT</t>
  </si>
  <si>
    <t>H4B4416</t>
  </si>
  <si>
    <t>CD Scratch &amp; ECC Big</t>
  </si>
  <si>
    <t>BW Wire &amp; Dies Inline</t>
  </si>
  <si>
    <t>Ganti Dies Inline &amp; Ganti BW</t>
  </si>
  <si>
    <t>H1B4426</t>
  </si>
  <si>
    <t>Dies Coating Kotor &amp; Sheave Macet</t>
  </si>
  <si>
    <t>Ganti Dies Coating &amp; Sheave Vibrasi ganti</t>
  </si>
  <si>
    <t>H1A4423</t>
  </si>
  <si>
    <t>SB Big</t>
  </si>
  <si>
    <t xml:space="preserve">Temp. Mungkin Kurang Panas Suhunya </t>
  </si>
  <si>
    <r>
      <t>Temp. Annealer Ditambahkan 20</t>
    </r>
    <r>
      <rPr>
        <sz val="10"/>
        <rFont val="Calibri"/>
        <family val="2"/>
      </rPr>
      <t>°</t>
    </r>
    <r>
      <rPr>
        <sz val="10"/>
        <rFont val="Calibri"/>
        <family val="2"/>
        <scheme val="minor"/>
      </rPr>
      <t>C</t>
    </r>
  </si>
  <si>
    <t>H4B4425</t>
  </si>
  <si>
    <t>001 / 002 / 003 / 004 / 005</t>
  </si>
  <si>
    <t>Start Up Belum Selesei Check ECC</t>
  </si>
  <si>
    <t>H1B4427</t>
  </si>
  <si>
    <t>No Ekor &amp; OD Big</t>
  </si>
  <si>
    <t>Pisau SC Side A Kotor</t>
  </si>
  <si>
    <t>Rewending</t>
  </si>
  <si>
    <t>Ekor Wire Ada 2</t>
  </si>
  <si>
    <t>Saat Spool Change Ekor Wire Double</t>
  </si>
  <si>
    <t>Bersihkan Pisau Winding SC Side B</t>
  </si>
  <si>
    <t>H1A4427</t>
  </si>
  <si>
    <t>Temp. Annealer Kurang Panas Suhunya</t>
  </si>
  <si>
    <t>Temp. Annealer Ditambahkan 20°C</t>
  </si>
  <si>
    <t>H4A4425</t>
  </si>
  <si>
    <t>Iromura</t>
  </si>
  <si>
    <t>- Supply Lubricant Kurang - Dies Inline &amp; Coating Sudah Kotor</t>
  </si>
  <si>
    <t>- Tambah Supply Lubricant - Ganti Dies Inline &amp; Coating</t>
  </si>
  <si>
    <t>H4B4422</t>
  </si>
  <si>
    <t>011 / 010</t>
  </si>
  <si>
    <t>Primary Coat Alarm</t>
  </si>
  <si>
    <t>V9B4501</t>
  </si>
  <si>
    <t>Alarm WS CP</t>
  </si>
  <si>
    <t>12A4504</t>
  </si>
  <si>
    <t>Alarm WS Capstand Pack</t>
  </si>
  <si>
    <t>Alarm WS Capstand Pack Pada cn 4</t>
  </si>
  <si>
    <t>Spool Change (Normal Sendiri)</t>
  </si>
  <si>
    <t>12A4501</t>
  </si>
  <si>
    <t>Varnish EP 506 M Keluar dari Lubang Saluran</t>
  </si>
  <si>
    <t>Cleaning Sheave, Antisipasi Varnish Under Dibuang (Scrap)</t>
  </si>
  <si>
    <t>V9A4503</t>
  </si>
  <si>
    <t>11A4505</t>
  </si>
  <si>
    <t>CD Big &amp; FT Small</t>
  </si>
  <si>
    <r>
      <t>Siwa Dies Coating &amp; WS Inline V9B Diturunkan 0.5</t>
    </r>
    <r>
      <rPr>
        <sz val="10"/>
        <rFont val="Calibri"/>
        <family val="2"/>
      </rPr>
      <t>%</t>
    </r>
  </si>
  <si>
    <t>V9B4511</t>
  </si>
  <si>
    <r>
      <t>Adjust Speed Inline Diturunkan 0.5</t>
    </r>
    <r>
      <rPr>
        <sz val="10"/>
        <rFont val="Calibri"/>
        <family val="2"/>
      </rPr>
      <t>%</t>
    </r>
  </si>
  <si>
    <t>V8B4511</t>
  </si>
  <si>
    <t>V4B4511</t>
  </si>
  <si>
    <t>OD Hempei</t>
  </si>
  <si>
    <t>Dies Up</t>
  </si>
  <si>
    <t>Scrape Small</t>
  </si>
  <si>
    <t>Coating Scrape Lepas</t>
  </si>
  <si>
    <r>
      <t>Siwa, Rotary Dies Inline &amp; Temperature Upper Dinaikkan 5</t>
    </r>
    <r>
      <rPr>
        <sz val="10"/>
        <rFont val="Calibri"/>
        <family val="2"/>
      </rPr>
      <t>°</t>
    </r>
  </si>
  <si>
    <t>V8C4501</t>
  </si>
  <si>
    <t>001 S/D 004</t>
  </si>
  <si>
    <t>1FBWHCS</t>
  </si>
  <si>
    <t>Main Traverse Ada Pergeseran</t>
  </si>
  <si>
    <t>Produk di RS</t>
  </si>
  <si>
    <t>H774509</t>
  </si>
  <si>
    <t>1.8.9</t>
  </si>
  <si>
    <t>Ganti Dies Coating 1Set</t>
  </si>
  <si>
    <t>H1B4505</t>
  </si>
  <si>
    <t>MVC</t>
  </si>
  <si>
    <t>Buttom Drum</t>
  </si>
  <si>
    <t>Change Felt</t>
  </si>
  <si>
    <t>H774508</t>
  </si>
  <si>
    <t>Beda Hasil Pengecekan Laser Micro QI dengan HRZ</t>
  </si>
  <si>
    <t>H1A4509</t>
  </si>
  <si>
    <t>Traverse Kurang Lebar</t>
  </si>
  <si>
    <t>di Rework</t>
  </si>
  <si>
    <t>di LS Produk</t>
  </si>
  <si>
    <t>H774507</t>
  </si>
  <si>
    <t>Under Weight</t>
  </si>
  <si>
    <t>Produk Alarm</t>
  </si>
  <si>
    <t>H1A4508</t>
  </si>
  <si>
    <t>Cleaning &amp; Rotary Dies</t>
  </si>
  <si>
    <t>H764508</t>
  </si>
  <si>
    <t>4.13.14</t>
  </si>
  <si>
    <t>Ganti FD</t>
  </si>
  <si>
    <t>H4B4508</t>
  </si>
  <si>
    <t>Karena Full Winding</t>
  </si>
  <si>
    <t>H2A4506</t>
  </si>
  <si>
    <t>Change FD</t>
  </si>
  <si>
    <t>11B4510 / 11B4509</t>
  </si>
  <si>
    <t>002 / 002</t>
  </si>
  <si>
    <t>2 / 3</t>
  </si>
  <si>
    <t>Kertas Print Macet</t>
  </si>
  <si>
    <t>Kertas Print Gulungan Terakhir Dilem</t>
  </si>
  <si>
    <t>Ganti Kertas Print</t>
  </si>
  <si>
    <t>12B4516</t>
  </si>
  <si>
    <t>Traverse Berhenti</t>
  </si>
  <si>
    <t>Re Spool Change</t>
  </si>
  <si>
    <t>V4B4507</t>
  </si>
  <si>
    <t>7</t>
  </si>
  <si>
    <t>2EIWAD-OP</t>
  </si>
  <si>
    <t>CD Kecil</t>
  </si>
  <si>
    <t>V6A4509</t>
  </si>
  <si>
    <t>CD Small &amp; Big</t>
  </si>
  <si>
    <t>Adjust Tension &amp; WS Inline Diturunkan</t>
  </si>
  <si>
    <t>V8A4513</t>
  </si>
  <si>
    <t>Wire Dempet Step 1 cn 3.4</t>
  </si>
  <si>
    <t>Wire Line Upper Sheave Dipisahin</t>
  </si>
  <si>
    <t>11A4523</t>
  </si>
  <si>
    <t>3.4</t>
  </si>
  <si>
    <t>V4B4510</t>
  </si>
  <si>
    <t>9</t>
  </si>
  <si>
    <t>P-Oil Baru Diisi</t>
  </si>
  <si>
    <t>11B4528</t>
  </si>
  <si>
    <t>Unknown</t>
  </si>
  <si>
    <t>V6A4527</t>
  </si>
  <si>
    <t>Rolling Scratch BW NG</t>
  </si>
  <si>
    <t>VOA4522 / VOA4523</t>
  </si>
  <si>
    <t>003 / 001</t>
  </si>
  <si>
    <t>Rolling CD NG</t>
  </si>
  <si>
    <t>Temperature Oven Fluktuasi</t>
  </si>
  <si>
    <t>Air Flow Kecil / Chart Temperature Fluktuasi</t>
  </si>
  <si>
    <t>Adjust Temperature / Air Flow By PE</t>
  </si>
  <si>
    <t>VOA4522</t>
  </si>
  <si>
    <t>11A4515</t>
  </si>
  <si>
    <t>Coating Dies Kotor</t>
  </si>
  <si>
    <t>Wire Siwa</t>
  </si>
  <si>
    <t>V6A4514</t>
  </si>
  <si>
    <t>V6B4429 / V6B4430</t>
  </si>
  <si>
    <t>1 S/D 6</t>
  </si>
  <si>
    <t>Cn 3 NG</t>
  </si>
  <si>
    <t>Dies Coat Up Primary</t>
  </si>
  <si>
    <t>V6A4517 / 19 / 17</t>
  </si>
  <si>
    <t>001 / 002 / 001 / 005</t>
  </si>
  <si>
    <t>Gulungan Kurang Dibagian Atas</t>
  </si>
  <si>
    <t>V8A4516</t>
  </si>
  <si>
    <t>031</t>
  </si>
  <si>
    <t>Traverse Tidak Stabil</t>
  </si>
  <si>
    <t>V8A4518</t>
  </si>
  <si>
    <t>004 / 005 / 012</t>
  </si>
  <si>
    <t>Berat Produk Minim</t>
  </si>
  <si>
    <t>Saat Running Produk Terjadi Alarm Blister / HVCT</t>
  </si>
  <si>
    <t>VOB4505</t>
  </si>
  <si>
    <t>Wire Dempet Upper Sheave</t>
  </si>
  <si>
    <t>Wire Kendor dari Step 1 &amp; 2 di Oven</t>
  </si>
  <si>
    <t>WB Sentos Ulang / Re Start Up</t>
  </si>
  <si>
    <t>VOB4511</t>
  </si>
  <si>
    <t>1.2</t>
  </si>
  <si>
    <t>Wire Fibrasi / Dempet Upper Sheave</t>
  </si>
  <si>
    <t>Cn 4 Wire Line Kendor DI Step 1 &amp; 2</t>
  </si>
  <si>
    <t>Wire Line Dipisahkan</t>
  </si>
  <si>
    <t>VOB4510 / VOB4511</t>
  </si>
  <si>
    <t>005 / 001</t>
  </si>
  <si>
    <t>3.4 / 5</t>
  </si>
  <si>
    <t>Tension Kuat</t>
  </si>
  <si>
    <t>H1A4510</t>
  </si>
  <si>
    <t>Perubahan Tension</t>
  </si>
  <si>
    <t>H1B4510</t>
  </si>
  <si>
    <t>Capstand Berisik</t>
  </si>
  <si>
    <t>Suppy Air ke Capstand Sedikit</t>
  </si>
  <si>
    <t>Informasi ke MTN</t>
  </si>
  <si>
    <t>H1B4515</t>
  </si>
  <si>
    <t>001 S/D 002</t>
  </si>
  <si>
    <t>H2B4515</t>
  </si>
  <si>
    <t>1 S/D 5 / 3</t>
  </si>
  <si>
    <t>H2A4515</t>
  </si>
  <si>
    <t>Capstand Panas</t>
  </si>
  <si>
    <t>H1A4515</t>
  </si>
  <si>
    <t>1.2.3.5</t>
  </si>
  <si>
    <t>Cizime</t>
  </si>
  <si>
    <t>Felt</t>
  </si>
  <si>
    <t>Ganti Felt</t>
  </si>
  <si>
    <t>H3B4521</t>
  </si>
  <si>
    <t>Dimensi NG (Big)</t>
  </si>
  <si>
    <t>H1A4517</t>
  </si>
  <si>
    <t>Felt Inline Kotor</t>
  </si>
  <si>
    <t>Ganti Felt 2x Sehari</t>
  </si>
  <si>
    <t>H4A4519</t>
  </si>
  <si>
    <t>Geser Felt Oil &amp; Felt Inline</t>
  </si>
  <si>
    <t>H5A4519</t>
  </si>
  <si>
    <t>OD Big &amp; OutSheave</t>
  </si>
  <si>
    <t>Set Tension &amp; Cek Passline</t>
  </si>
  <si>
    <t>Low Tension</t>
  </si>
  <si>
    <t>H1A4522</t>
  </si>
  <si>
    <t>4 / 1</t>
  </si>
  <si>
    <t>Felt Kotor</t>
  </si>
  <si>
    <t>Ganti Felt Inline &amp; Felt Oil</t>
  </si>
  <si>
    <t>H4A4518</t>
  </si>
  <si>
    <t>008</t>
  </si>
  <si>
    <t>Supply Lubricant Kurang &amp; Felt Sudah Kotor</t>
  </si>
  <si>
    <t>Setting Shower Lubricant &amp; Ganti Felt</t>
  </si>
  <si>
    <t>H5A4516</t>
  </si>
  <si>
    <t>Geser Felt Oil &amp; Ganti Felt Inline</t>
  </si>
  <si>
    <t>H5B4518</t>
  </si>
  <si>
    <t>007</t>
  </si>
  <si>
    <t>Iromura / App Belang</t>
  </si>
  <si>
    <t xml:space="preserve">Mungkin Dies Inline Kotor </t>
  </si>
  <si>
    <t>Ganti Dies Inline 1Set</t>
  </si>
  <si>
    <t>H1B4518 / 19 / 21</t>
  </si>
  <si>
    <t>Varnish &amp; DF Kecil</t>
  </si>
  <si>
    <t>Supply Varnish Kecil</t>
  </si>
  <si>
    <t>Supply Varnish Digedein</t>
  </si>
  <si>
    <t>H2A4520</t>
  </si>
  <si>
    <t>Siwa Dies Coating &amp; Ganti Felt Sebelum Oven</t>
  </si>
  <si>
    <t>11A4609</t>
  </si>
  <si>
    <t>V6A4609</t>
  </si>
  <si>
    <t>Sheave Macet</t>
  </si>
  <si>
    <t>V9A4605</t>
  </si>
  <si>
    <t>Lampu Ultrasonic Mati</t>
  </si>
  <si>
    <t>11A4605</t>
  </si>
  <si>
    <t>Spooler Mati</t>
  </si>
  <si>
    <t>VOA4604</t>
  </si>
  <si>
    <t xml:space="preserve">Bad Winding </t>
  </si>
  <si>
    <t>Kurang Central Traverse Winding</t>
  </si>
  <si>
    <t>Adjust Traverse Winding</t>
  </si>
  <si>
    <t>V6A4604</t>
  </si>
  <si>
    <t>Box SPB Belum Dipasang</t>
  </si>
  <si>
    <t>SPB Belum Dipasang</t>
  </si>
  <si>
    <t>Box SPB Dipasang</t>
  </si>
  <si>
    <t>11A4604</t>
  </si>
  <si>
    <t>V6A4608</t>
  </si>
  <si>
    <t>Qty Horiba Big</t>
  </si>
  <si>
    <t>Kebanyakan Oil SPB</t>
  </si>
  <si>
    <t>Adjust WS Roll Coater SPB Diturunkan</t>
  </si>
  <si>
    <t>V4B4609</t>
  </si>
  <si>
    <t xml:space="preserve">Adjust WS Roll Coater SPB </t>
  </si>
  <si>
    <t>V4B4608</t>
  </si>
  <si>
    <t>Alarm CP-500</t>
  </si>
  <si>
    <t>Alarm CP-500 Tidak Diketahui</t>
  </si>
  <si>
    <t>12A4610</t>
  </si>
  <si>
    <t>Alarm Normal Sendiri</t>
  </si>
  <si>
    <t>11B4604</t>
  </si>
  <si>
    <t>Gulungan Kendor</t>
  </si>
  <si>
    <t>Oil Kurang</t>
  </si>
  <si>
    <t>Sudah diAction</t>
  </si>
  <si>
    <t>H774609</t>
  </si>
  <si>
    <t>H5B4609</t>
  </si>
  <si>
    <t>H5A4609</t>
  </si>
  <si>
    <t>Dies Coating Kotor</t>
  </si>
  <si>
    <t>H1A4608</t>
  </si>
  <si>
    <t>H1B4607</t>
  </si>
  <si>
    <t>Setting Tension</t>
  </si>
  <si>
    <t>H1A4607</t>
  </si>
  <si>
    <t>H1A4609</t>
  </si>
  <si>
    <t>APP NG &amp; ECC Big</t>
  </si>
  <si>
    <t>- Ganti Dies Coating - Dies Kotor</t>
  </si>
  <si>
    <t>T/U Control Tension Mati</t>
  </si>
  <si>
    <t>Ganti Part Baru By MTN</t>
  </si>
  <si>
    <t>11A4609 / 11A4610</t>
  </si>
  <si>
    <t>007 / 001</t>
  </si>
  <si>
    <t>12A607</t>
  </si>
  <si>
    <t xml:space="preserve">Dimensi NG </t>
  </si>
  <si>
    <t>Check Next T/U</t>
  </si>
  <si>
    <t>H1A4601</t>
  </si>
  <si>
    <t>Setting Naik</t>
  </si>
  <si>
    <t>H1A4602</t>
  </si>
  <si>
    <t>Felt Inline Dies Kotor</t>
  </si>
  <si>
    <t>H3B4518</t>
  </si>
  <si>
    <t>Qty Horiba Small</t>
  </si>
  <si>
    <t>VOA4615 / VOA4616 / VOA4617</t>
  </si>
  <si>
    <t>002 / 003 / 002</t>
  </si>
  <si>
    <t>Adjust Sheave Heater</t>
  </si>
  <si>
    <t>V6A4613</t>
  </si>
  <si>
    <t>V6B4611</t>
  </si>
  <si>
    <t>Bunyi Alarm Laser Micro</t>
  </si>
  <si>
    <t>- Tension Sebelum Oven Dikendorin - Siwa Dies Coating</t>
  </si>
  <si>
    <t>11A4614</t>
  </si>
  <si>
    <t>Spool Change All Course</t>
  </si>
  <si>
    <t>12A4613</t>
  </si>
  <si>
    <t>V6A4615</t>
  </si>
  <si>
    <t>Alarm CP-500 Speed Tidak Diketahui</t>
  </si>
  <si>
    <t>12A4614 / 12A4615</t>
  </si>
  <si>
    <t>1 S/D 4 / 5</t>
  </si>
  <si>
    <t>Wire Tension Kendor</t>
  </si>
  <si>
    <t>Adjust Slidak / Wire Tension</t>
  </si>
  <si>
    <t>VOB4614</t>
  </si>
  <si>
    <t>Spool Change</t>
  </si>
  <si>
    <t>11B4619</t>
  </si>
  <si>
    <t>Data PrintOut Tidak Ada</t>
  </si>
  <si>
    <t>Data PrintOut Numpuk</t>
  </si>
  <si>
    <t>Ganti Kertas PrintOut</t>
  </si>
  <si>
    <t>V9B4618</t>
  </si>
  <si>
    <t>Outsheave Fluktuasi</t>
  </si>
  <si>
    <t>Repair MTN</t>
  </si>
  <si>
    <t>11A4620 / 19</t>
  </si>
  <si>
    <t>002 / 001 / 003 / 006</t>
  </si>
  <si>
    <t>V6B4613</t>
  </si>
  <si>
    <t>DF Big</t>
  </si>
  <si>
    <r>
      <t>Temperature Upper &amp; Catalyst Dinaikkan 3</t>
    </r>
    <r>
      <rPr>
        <sz val="10"/>
        <rFont val="Calibri"/>
        <family val="2"/>
      </rPr>
      <t>°</t>
    </r>
    <r>
      <rPr>
        <sz val="10"/>
        <rFont val="Calibri"/>
        <family val="2"/>
        <scheme val="minor"/>
      </rPr>
      <t>C</t>
    </r>
  </si>
  <si>
    <t>12A4620</t>
  </si>
  <si>
    <t>11B4622</t>
  </si>
  <si>
    <t>Supply Over Coating Kecil</t>
  </si>
  <si>
    <t>Supply Over Coating Varnish Kecil</t>
  </si>
  <si>
    <t>Reel Change</t>
  </si>
  <si>
    <t>H1A4619</t>
  </si>
  <si>
    <t>1 S/D 4</t>
  </si>
  <si>
    <t>H2A4617</t>
  </si>
  <si>
    <t>Mc Stop</t>
  </si>
  <si>
    <t>H2A4615</t>
  </si>
  <si>
    <t xml:space="preserve">Temperature Inlet &amp; Lower Turun </t>
  </si>
  <si>
    <t xml:space="preserve">Saat Temperature VOB Dinyalakan, Temperature   VOA Inlet &amp; Lower Turun </t>
  </si>
  <si>
    <t>VOA4627</t>
  </si>
  <si>
    <t>2.3.4.5</t>
  </si>
  <si>
    <t>Cn 5 Out Sheave / Tension Kendor</t>
  </si>
  <si>
    <t>Cn 5 Out Sheave / Tension Kendor Saat Spool Change</t>
  </si>
  <si>
    <t>Adjust Passline After Winding</t>
  </si>
  <si>
    <t>1-AIWP</t>
  </si>
  <si>
    <t>NIKKO CAHAYA</t>
  </si>
  <si>
    <t>Wire Masuk Ke dalam Felt</t>
  </si>
  <si>
    <t>Adjust Sumbu Oil Diturunkan</t>
  </si>
  <si>
    <t>V8A4628</t>
  </si>
  <si>
    <t>WS Roller</t>
  </si>
  <si>
    <t>V9A4701</t>
  </si>
  <si>
    <t>V9A4630</t>
  </si>
  <si>
    <t>V9B4702</t>
  </si>
  <si>
    <t>Antisipasi Varnish Bonding</t>
  </si>
  <si>
    <t>Ada Pergantian Varnish</t>
  </si>
  <si>
    <t xml:space="preserve">TakeOut Varnish </t>
  </si>
  <si>
    <t>V9A4704</t>
  </si>
  <si>
    <t>V9B4704</t>
  </si>
  <si>
    <t>App Kasar</t>
  </si>
  <si>
    <t>Supply Varnish EP-506M Terlalu Kecil Varnish di Aplicator Box Hampir Miring</t>
  </si>
  <si>
    <t>Adjust By Pass / Supply Varnish Diperbesar</t>
  </si>
  <si>
    <t>V9B4703</t>
  </si>
  <si>
    <t>Supply Belalai Tidak Keluar</t>
  </si>
  <si>
    <t>Buka Tutup Valve</t>
  </si>
  <si>
    <t>V9A4706</t>
  </si>
  <si>
    <t>H1A4709</t>
  </si>
  <si>
    <t>12A4708</t>
  </si>
  <si>
    <t>Adjust Temperature Upper Dinaikkan</t>
  </si>
  <si>
    <t>12A4706</t>
  </si>
  <si>
    <t>Alarm Primary Coat Bunyi</t>
  </si>
  <si>
    <t>Dies Coating Normal Sendiri</t>
  </si>
  <si>
    <t>V6A4709</t>
  </si>
  <si>
    <t>D1-PEW-B2T</t>
  </si>
  <si>
    <t>VOA4708</t>
  </si>
  <si>
    <t>Temperature Upper &amp; Catalyst Dinaikkan 3°C</t>
  </si>
  <si>
    <t>12A4707</t>
  </si>
  <si>
    <t>1AIW-S</t>
  </si>
  <si>
    <t>PIDSG</t>
  </si>
  <si>
    <t>Plang Atas Pecah</t>
  </si>
  <si>
    <t>V8D4707</t>
  </si>
  <si>
    <t>Cleaning Kasa Primary Coat</t>
  </si>
  <si>
    <t>V6A4708</t>
  </si>
  <si>
    <t>Spool Coak</t>
  </si>
  <si>
    <t>12B4704</t>
  </si>
  <si>
    <t>11A4630</t>
  </si>
  <si>
    <t>006</t>
  </si>
  <si>
    <t>ECC &amp; OD Big</t>
  </si>
  <si>
    <t>Sudah Ganti Dies Coating</t>
  </si>
  <si>
    <t>H1A4704</t>
  </si>
  <si>
    <t>3 / 5</t>
  </si>
  <si>
    <t>H1A4707</t>
  </si>
  <si>
    <t>H1A4706</t>
  </si>
  <si>
    <t>H1A4703</t>
  </si>
  <si>
    <r>
      <t>Speed Up 3</t>
    </r>
    <r>
      <rPr>
        <sz val="10"/>
        <rFont val="Calibri"/>
        <family val="2"/>
      </rPr>
      <t>%</t>
    </r>
    <r>
      <rPr>
        <sz val="10"/>
        <rFont val="Calibri"/>
        <family val="2"/>
        <scheme val="minor"/>
      </rPr>
      <t xml:space="preserve">    </t>
    </r>
  </si>
  <si>
    <t>H4A4707</t>
  </si>
  <si>
    <t>OD Small &amp; ECC Big</t>
  </si>
  <si>
    <t>006 / 007 / 008 / 009 / 010 / 011</t>
  </si>
  <si>
    <t>H4A4612</t>
  </si>
  <si>
    <t>OD &amp; ECC NG</t>
  </si>
  <si>
    <t>H1A4705</t>
  </si>
  <si>
    <t>11A4628</t>
  </si>
  <si>
    <t>Adjust Wire Line di Roller SPB Oil</t>
  </si>
  <si>
    <t>VOA4709</t>
  </si>
  <si>
    <t>Alarm Primary Bunyi</t>
  </si>
  <si>
    <t>V6A4710</t>
  </si>
  <si>
    <t>Rotary</t>
  </si>
  <si>
    <t>Setting Traverse Ditambah</t>
  </si>
  <si>
    <t>H2B4702</t>
  </si>
  <si>
    <t>Kasar</t>
  </si>
  <si>
    <t>Pass Line Area</t>
  </si>
  <si>
    <t>H2B4706</t>
  </si>
  <si>
    <t>H774628</t>
  </si>
  <si>
    <t>Plang Atas Coak</t>
  </si>
  <si>
    <t>BW Scratch</t>
  </si>
  <si>
    <t>Change Finish Dies</t>
  </si>
  <si>
    <t>H1A4710</t>
  </si>
  <si>
    <t>Scratch, OD Big &amp; ECC Big</t>
  </si>
  <si>
    <t>1 / 2 / 3</t>
  </si>
  <si>
    <t>ECC / OD NG</t>
  </si>
  <si>
    <t>Re-Centering Ulang</t>
  </si>
  <si>
    <t>1 / 2</t>
  </si>
  <si>
    <t>H1A4708</t>
  </si>
  <si>
    <t>Pilih Spool Kembali dengan Kondisi Bagus</t>
  </si>
  <si>
    <t>V8D4710</t>
  </si>
  <si>
    <t>Cleaning &amp; Rotary</t>
  </si>
  <si>
    <t>H774629</t>
  </si>
  <si>
    <t>Laser Micro Alarm Small</t>
  </si>
  <si>
    <t>11A4624</t>
  </si>
  <si>
    <t>H1A4712</t>
  </si>
  <si>
    <t>OD Big Hempei (Ovality OD) &amp; ECC Big</t>
  </si>
  <si>
    <t>Cek Red Spool</t>
  </si>
  <si>
    <t>H2A4712</t>
  </si>
  <si>
    <t>Horiba &amp; OD &amp; CD &amp; ECC NG</t>
  </si>
  <si>
    <t>1 / 5</t>
  </si>
  <si>
    <r>
      <t>Speed Down 3</t>
    </r>
    <r>
      <rPr>
        <sz val="10"/>
        <rFont val="Calibri"/>
        <family val="2"/>
      </rPr>
      <t>%</t>
    </r>
  </si>
  <si>
    <t>H4B4716</t>
  </si>
  <si>
    <t>H4B4715</t>
  </si>
  <si>
    <t>H2A4713</t>
  </si>
  <si>
    <t>H2A4718</t>
  </si>
  <si>
    <t>Cleaning Dies Coat &amp; Rotary</t>
  </si>
  <si>
    <t>H2A4717</t>
  </si>
  <si>
    <r>
      <t>Speed Inline Up 1</t>
    </r>
    <r>
      <rPr>
        <sz val="10"/>
        <rFont val="Calibri"/>
        <family val="2"/>
      </rPr>
      <t>%</t>
    </r>
  </si>
  <si>
    <t>V6B4719</t>
  </si>
  <si>
    <t>WS Inline Dinaikkan 1%</t>
  </si>
  <si>
    <t>Alarm WS FP-500</t>
  </si>
  <si>
    <t>All Spool Change</t>
  </si>
  <si>
    <t>12A4719</t>
  </si>
  <si>
    <t>Alarm WS Pack</t>
  </si>
  <si>
    <t>12A4718</t>
  </si>
  <si>
    <t>V6A4720</t>
  </si>
  <si>
    <t>001 &amp; 002</t>
  </si>
  <si>
    <t>V6A4721</t>
  </si>
  <si>
    <t>Siwa Dies Coat</t>
  </si>
  <si>
    <t>V6A4716</t>
  </si>
  <si>
    <t>Buka Tutup Valve Belalai Varnish Supply</t>
  </si>
  <si>
    <t>Supply Belalai Varnish Over</t>
  </si>
  <si>
    <t>V9A4708</t>
  </si>
  <si>
    <t>V6A4722</t>
  </si>
  <si>
    <t>Dies Up Step 1 Cn 1</t>
  </si>
  <si>
    <t>V6A4706</t>
  </si>
  <si>
    <t>VOB4629</t>
  </si>
  <si>
    <t>V6B4708</t>
  </si>
  <si>
    <t>Antisipasi Problem Oil</t>
  </si>
  <si>
    <t>Putaran Roller E-Oil Tidak Stabil</t>
  </si>
  <si>
    <t>VOA4717</t>
  </si>
  <si>
    <t>Keluar Jalur Oil</t>
  </si>
  <si>
    <t>Putaran Slidak Spool Tidak Stabil</t>
  </si>
  <si>
    <t>Jalur Wire ri Roll Coater Oil Dirapihkan</t>
  </si>
  <si>
    <t>V9A4719</t>
  </si>
  <si>
    <t>V6A4724</t>
  </si>
  <si>
    <t>Varnish OC Mati</t>
  </si>
  <si>
    <t>VOA4721</t>
  </si>
  <si>
    <t>3 &amp; 5</t>
  </si>
  <si>
    <t>V6A4723</t>
  </si>
  <si>
    <t>002 &amp; 003 / 004</t>
  </si>
  <si>
    <t>V6A4724 / V6A4724</t>
  </si>
  <si>
    <t>001 / 005</t>
  </si>
  <si>
    <t>1st PA Roots Blower Fault</t>
  </si>
  <si>
    <t>1st PA Roots Blower Fault Mati</t>
  </si>
  <si>
    <t>Request Repair MTN</t>
  </si>
  <si>
    <t>12B4725</t>
  </si>
  <si>
    <t>005 / 006 / 007</t>
  </si>
  <si>
    <t>Pressure Fan Fluktuasi</t>
  </si>
  <si>
    <t>V8A4724</t>
  </si>
  <si>
    <t>FT Small &amp; CD Big</t>
  </si>
  <si>
    <t>Siwa Dies Coating &amp; Adjust Tension Produk</t>
  </si>
  <si>
    <t>12A4726 / 12A4725</t>
  </si>
  <si>
    <t>4 / 4</t>
  </si>
  <si>
    <t>12A4722</t>
  </si>
  <si>
    <t>Advance Sample BW Scratch</t>
  </si>
  <si>
    <t>V8A4719</t>
  </si>
  <si>
    <t>001 S/D 010</t>
  </si>
  <si>
    <t>V8D4725</t>
  </si>
  <si>
    <t>Siwa Dies Coat &amp; Adjust Tension Produk</t>
  </si>
  <si>
    <t>12A4727</t>
  </si>
  <si>
    <t>V6A4727</t>
  </si>
  <si>
    <t>Under Weight Kurang 1kg</t>
  </si>
  <si>
    <t>Terjadi Alarm Blister / HVCT</t>
  </si>
  <si>
    <t>VOA4725</t>
  </si>
  <si>
    <t>H2A4719</t>
  </si>
  <si>
    <t>Sebelum Pasang Spool Dipasang Dulu</t>
  </si>
  <si>
    <t>H764723</t>
  </si>
  <si>
    <t>8</t>
  </si>
  <si>
    <t>H2B4723</t>
  </si>
  <si>
    <t>Ekor Wire Ada 3</t>
  </si>
  <si>
    <t>Cek Passline di Aplicator</t>
  </si>
  <si>
    <t>H2A4720</t>
  </si>
  <si>
    <t>No Ekor</t>
  </si>
  <si>
    <t>Cek Saat Reel Change</t>
  </si>
  <si>
    <t>H2B4719</t>
  </si>
  <si>
    <t>H2A4721</t>
  </si>
  <si>
    <t>1 / 2 / 4</t>
  </si>
  <si>
    <t>Produk T/U Sebelumnya Ada QCDR</t>
  </si>
  <si>
    <t xml:space="preserve">Siwa Dies Coating &amp; Adjust Tension </t>
  </si>
  <si>
    <t>Spooler Tidak Stabil</t>
  </si>
  <si>
    <t>V6A4725</t>
  </si>
  <si>
    <t>V6A4806</t>
  </si>
  <si>
    <t>Berat Produk Kurang Sedikit</t>
  </si>
  <si>
    <t>Terjadi Alarm Saat Berat Produk Sekitar 60kg</t>
  </si>
  <si>
    <t>VOA4804</t>
  </si>
  <si>
    <t>MELMB</t>
  </si>
  <si>
    <t>V8C4806</t>
  </si>
  <si>
    <t>Cek Dies Coat OK</t>
  </si>
  <si>
    <t>V6A4803</t>
  </si>
  <si>
    <t>V6A4805</t>
  </si>
  <si>
    <t>V6A4806 / V6A4805</t>
  </si>
  <si>
    <t>001.002 / 004.005</t>
  </si>
  <si>
    <t>1 S/D 5 / 1</t>
  </si>
  <si>
    <t>V6A4810 / V6A4811</t>
  </si>
  <si>
    <t>Floating Dies Oven Tidak Stabil</t>
  </si>
  <si>
    <t>V6A4812</t>
  </si>
  <si>
    <t>Floating Dies Tidak Stabil</t>
  </si>
  <si>
    <t>V6A4813</t>
  </si>
  <si>
    <t>Sheave Seret (Tidak Berputar)</t>
  </si>
  <si>
    <t>Sheave Tidak Berputar</t>
  </si>
  <si>
    <t>Ganti Sheave Oleh MTN</t>
  </si>
  <si>
    <t>12A4812</t>
  </si>
  <si>
    <t>1.2.5</t>
  </si>
  <si>
    <t>Steam Fluktuasi</t>
  </si>
  <si>
    <t>Steam Fluktuasi Annealer 2</t>
  </si>
  <si>
    <t>1.3</t>
  </si>
  <si>
    <t>11A4811</t>
  </si>
  <si>
    <t>Dikuras Ultrasonic</t>
  </si>
  <si>
    <t>Tanki Ultrasonic Mix Lubricant</t>
  </si>
  <si>
    <t>Ultrasonic Kecampur Lubricant dari Mc V9B</t>
  </si>
  <si>
    <t>Kuras Tanki Ultrasonic</t>
  </si>
  <si>
    <t>V9A4804</t>
  </si>
  <si>
    <t>Air Ultrasonic Kecampur Lubricant</t>
  </si>
  <si>
    <t>Air Ultrasonic Dibuang / Dikuras</t>
  </si>
  <si>
    <t>V6A4804</t>
  </si>
  <si>
    <t>V6B4804</t>
  </si>
  <si>
    <t>Ultrasonic Dikuras</t>
  </si>
  <si>
    <t>VOB4804</t>
  </si>
  <si>
    <t>Varnish NG</t>
  </si>
  <si>
    <t>Toy ENO Mampet</t>
  </si>
  <si>
    <t>Cleaning Toy ENO By Pak Khanafi</t>
  </si>
  <si>
    <t>V6B4803</t>
  </si>
  <si>
    <t>Adjust Roll Coater + WS Naikkan dari 4.7 --&gt; 5.0</t>
  </si>
  <si>
    <t>VOB4812 / VOB4813</t>
  </si>
  <si>
    <t>003 / 004 / 001</t>
  </si>
  <si>
    <t>V6A4809</t>
  </si>
  <si>
    <t>Pass Line Check</t>
  </si>
  <si>
    <t>V9A4807</t>
  </si>
  <si>
    <t>V8D4809</t>
  </si>
  <si>
    <t>Salah Grade BW</t>
  </si>
  <si>
    <t>Salah Grade BW Saat Wire Joint</t>
  </si>
  <si>
    <t>Ganti BW yang Benar</t>
  </si>
  <si>
    <t>11B4807</t>
  </si>
  <si>
    <t>Naikkan Roll Coater</t>
  </si>
  <si>
    <t>1FBWCC</t>
  </si>
  <si>
    <t>Kurang Oil SPB</t>
  </si>
  <si>
    <t>WS Roll Coater SPB</t>
  </si>
  <si>
    <t>V9A4808</t>
  </si>
  <si>
    <t>VOB4811</t>
  </si>
  <si>
    <t>Siwa  Dies Coating</t>
  </si>
  <si>
    <t>1.4</t>
  </si>
  <si>
    <t>V6A4808</t>
  </si>
  <si>
    <t>Wire Belang Belang</t>
  </si>
  <si>
    <t>Siwa dies Coat</t>
  </si>
  <si>
    <t>V9A4610</t>
  </si>
  <si>
    <t>Alarm Speed FP-500 Fkuktusdi</t>
  </si>
  <si>
    <t>12A4626</t>
  </si>
  <si>
    <t>Tida Diketahui</t>
  </si>
  <si>
    <t>Varnish Primary Coat Alarm</t>
  </si>
  <si>
    <t>V6A4707</t>
  </si>
  <si>
    <t>Salah Grade B</t>
  </si>
  <si>
    <t>Ganti BW Grade A</t>
  </si>
  <si>
    <t>12B4715</t>
  </si>
  <si>
    <t>V6A4725 / V6A4724</t>
  </si>
  <si>
    <t>VOB4723</t>
  </si>
  <si>
    <t>FG Salah Lot</t>
  </si>
  <si>
    <t>12B4711</t>
  </si>
  <si>
    <t>Rotary Dies Inline &amp; Siwa Dies Coating</t>
  </si>
  <si>
    <t>V8D4723</t>
  </si>
  <si>
    <t>Cek Gulungan, Traverse &amp; Tension</t>
  </si>
  <si>
    <t>V8D4814</t>
  </si>
  <si>
    <t>Antisipasi Sheave Roller Sebelum T/U Capstand Miring</t>
  </si>
  <si>
    <t>Ada Perapian / Serbuk Putih Pada Sheave</t>
  </si>
  <si>
    <t>Centering Sheave Roller Sebelum T/U Capstand</t>
  </si>
  <si>
    <t>VOA4815</t>
  </si>
  <si>
    <t xml:space="preserve">Under Weight </t>
  </si>
  <si>
    <t>Terjadi Alarm BLS / HVCT</t>
  </si>
  <si>
    <t>Cek Berat Produk</t>
  </si>
  <si>
    <t>VOA4814</t>
  </si>
  <si>
    <t>VOB4813</t>
  </si>
  <si>
    <t>V8D4811</t>
  </si>
  <si>
    <t>0.77 / 0.82</t>
  </si>
  <si>
    <t>MELMB / MEAINA</t>
  </si>
  <si>
    <t>11B4808 / 11B4813</t>
  </si>
  <si>
    <t>1/ 2</t>
  </si>
  <si>
    <t>Ovality / ECC Big</t>
  </si>
  <si>
    <t>Centering Back Sheave Under Kirim Ulang</t>
  </si>
  <si>
    <t>H1B4808</t>
  </si>
  <si>
    <t>H1B4807</t>
  </si>
  <si>
    <t>1.2.4</t>
  </si>
  <si>
    <t>OD Big / Hempei</t>
  </si>
  <si>
    <t>H1B4811</t>
  </si>
  <si>
    <t>Cleaning Dies Coating</t>
  </si>
  <si>
    <t>H1A4808</t>
  </si>
  <si>
    <t>V6A4818</t>
  </si>
  <si>
    <t>Switch Primary Coat</t>
  </si>
  <si>
    <t>Switch Primary Coat di ON-kan</t>
  </si>
  <si>
    <t>V6A4816</t>
  </si>
  <si>
    <t>002 S/D 004</t>
  </si>
  <si>
    <t>V6A4817</t>
  </si>
  <si>
    <t>V6A4821 / 20</t>
  </si>
  <si>
    <t>002.003 / 005</t>
  </si>
  <si>
    <t>Display Set Tension Erorr</t>
  </si>
  <si>
    <t>Set By MTN</t>
  </si>
  <si>
    <t>11B4818</t>
  </si>
  <si>
    <t>Catat Winding Secara Berkala</t>
  </si>
  <si>
    <t>H774811</t>
  </si>
  <si>
    <t>Change Felt Coating</t>
  </si>
  <si>
    <t>H774810</t>
  </si>
  <si>
    <t>12</t>
  </si>
  <si>
    <t>Temperature Oven -10°C</t>
  </si>
  <si>
    <t>H4A4821</t>
  </si>
  <si>
    <t>Setting Nozzle</t>
  </si>
  <si>
    <t>H5B4816</t>
  </si>
  <si>
    <t>H4B4821</t>
  </si>
  <si>
    <t>Adjust Temperature Oven  &amp; Wire Speed</t>
  </si>
  <si>
    <t>SEI / HANSIN</t>
  </si>
  <si>
    <t>V6A4824 / 25</t>
  </si>
  <si>
    <t>Blister &amp; Bunyi Alarm Speed FP-500</t>
  </si>
  <si>
    <t>Cn 3 Wire Kusut di Checking Dies</t>
  </si>
  <si>
    <t>Dirapihkan</t>
  </si>
  <si>
    <t>12A4819</t>
  </si>
  <si>
    <t>11A4820</t>
  </si>
  <si>
    <t>Tidak Pake Bahan Selected</t>
  </si>
  <si>
    <t>Ganti Bahan yang Benar</t>
  </si>
  <si>
    <t>V8D4822</t>
  </si>
  <si>
    <t>Varnish Kering (CP-500)</t>
  </si>
  <si>
    <t>Supply Varnish dari Drum Tidak Mengalir</t>
  </si>
  <si>
    <t>Sementara Pakai Manual Switch</t>
  </si>
  <si>
    <t>V9A4823</t>
  </si>
  <si>
    <t>VOB4805</t>
  </si>
  <si>
    <t>11B4827</t>
  </si>
  <si>
    <t>Cek Produk Tanggal 25-08-2024 OK</t>
  </si>
  <si>
    <t>H764825</t>
  </si>
  <si>
    <t>13</t>
  </si>
  <si>
    <t>Laser Micro Alarm cn 4</t>
  </si>
  <si>
    <t>Rotary Dies Coating CN 4</t>
  </si>
  <si>
    <t>11A4829</t>
  </si>
  <si>
    <t>11B4831</t>
  </si>
  <si>
    <t>VOA4824 / VOA4823 / VOA4825</t>
  </si>
  <si>
    <t>Cek Traverse &amp; Tension</t>
  </si>
  <si>
    <t>12B4806</t>
  </si>
  <si>
    <t>1.4 / 1</t>
  </si>
  <si>
    <t>12B4806-001-04 NG</t>
  </si>
  <si>
    <t>MC di Speed &amp; Repair by MTN</t>
  </si>
  <si>
    <t>V8A4809</t>
  </si>
  <si>
    <t>Data HVCT &amp; Blister Tidak Ada</t>
  </si>
  <si>
    <t>Data HVCT &amp; Blister Tidak Ada Dilayar Monitor / Mati Sendiri</t>
  </si>
  <si>
    <t>11A4816</t>
  </si>
  <si>
    <t>8/919</t>
  </si>
  <si>
    <t>Michaku Big &amp; HS Crack</t>
  </si>
  <si>
    <t>V9A4902</t>
  </si>
  <si>
    <t>Temperature Pressure Box PrintOut Mati</t>
  </si>
  <si>
    <t>Kertas PrintOut Macet</t>
  </si>
  <si>
    <t>V4B4902</t>
  </si>
  <si>
    <t>Temperature Felt Upper Heater Tidak Dapat Naik Sesuai Standard</t>
  </si>
  <si>
    <t>Alarm Laser Micro Bunyi</t>
  </si>
  <si>
    <t>11B4903 / 11B4902</t>
  </si>
  <si>
    <t>1 / 1.3</t>
  </si>
  <si>
    <t>Adjust Roller &amp; Isi Full SPB</t>
  </si>
  <si>
    <t>11A4901</t>
  </si>
  <si>
    <t>MC Off Mendadak</t>
  </si>
  <si>
    <t>V9A4904</t>
  </si>
  <si>
    <t>V9A4904-001-02 S/D 05</t>
  </si>
  <si>
    <t>Steam Generator Waterbath Erorr</t>
  </si>
  <si>
    <t>Steam Generator Waterbath Erorr Anneal 2, Display 000</t>
  </si>
  <si>
    <t>12A4906</t>
  </si>
  <si>
    <t>Pressure Fan &amp; Circulation Tidak Sesuai</t>
  </si>
  <si>
    <t>Setting Sesuai Indication Slip</t>
  </si>
  <si>
    <t>Pressure Fan &amp; Circulation Tidak Sesuai Indication Slip</t>
  </si>
  <si>
    <t>12A4905</t>
  </si>
  <si>
    <t>Tambah Shower Lubricant &amp; Ganti FD</t>
  </si>
  <si>
    <t>H5A4910</t>
  </si>
  <si>
    <t>OD &amp; Ovality Big</t>
  </si>
  <si>
    <t>Cek Size &amp; Tension Secara Berkala</t>
  </si>
  <si>
    <t>H1B4907</t>
  </si>
  <si>
    <t>2.3</t>
  </si>
  <si>
    <t>Ekor Tidak Ada</t>
  </si>
  <si>
    <t>Ekor Wire Tidak Ada</t>
  </si>
  <si>
    <t>Cek Pisau Makitori</t>
  </si>
  <si>
    <t>H5B4905</t>
  </si>
  <si>
    <t>Geser Sheave Dance Inline</t>
  </si>
  <si>
    <t>1UEW</t>
  </si>
  <si>
    <t>Tidak Ada Ekor Wire</t>
  </si>
  <si>
    <t>Cek Pisau Winding</t>
  </si>
  <si>
    <t>H4B4910</t>
  </si>
  <si>
    <t>V9A4914 / V9A4915</t>
  </si>
  <si>
    <t>Alarm Varnish PC Bunyi</t>
  </si>
  <si>
    <t>Alarm Varnish PC Bunyi, Dies Coating Tidak Ada yang Naik</t>
  </si>
  <si>
    <t>V6A4915</t>
  </si>
  <si>
    <t>Antisipasi WS Capstand FP-500 Fluktuasi</t>
  </si>
  <si>
    <t>V6B4912 / V6B4915 / V6B4916</t>
  </si>
  <si>
    <t>V6A4917 / V6A4918</t>
  </si>
  <si>
    <t>Tension Winding</t>
  </si>
  <si>
    <t>V9B4910</t>
  </si>
  <si>
    <t>6</t>
  </si>
  <si>
    <t>Capstand Speed Fluktuasi</t>
  </si>
  <si>
    <t>V6B4913</t>
  </si>
  <si>
    <t>WS Capstand Fluktuasi</t>
  </si>
  <si>
    <t>V6B4914</t>
  </si>
  <si>
    <t>Adjust Pass Line Winding</t>
  </si>
  <si>
    <t>11B4829</t>
  </si>
  <si>
    <t>Cek Angkatan Selanjutnya OK</t>
  </si>
  <si>
    <t>H764822</t>
  </si>
  <si>
    <t>11</t>
  </si>
  <si>
    <t>11B4909</t>
  </si>
  <si>
    <t>11B4905</t>
  </si>
  <si>
    <t>V8A4910</t>
  </si>
  <si>
    <t>12A4912</t>
  </si>
  <si>
    <t>Sheave Setelah P-Oil Tidak Berputar</t>
  </si>
  <si>
    <t>12B4910</t>
  </si>
  <si>
    <t>No Action</t>
  </si>
  <si>
    <t>H2A4918</t>
  </si>
  <si>
    <t>Centering Dies Coating Ulang</t>
  </si>
  <si>
    <t>H2B4920</t>
  </si>
  <si>
    <t>1.4.5</t>
  </si>
  <si>
    <t>H2A4916</t>
  </si>
  <si>
    <t>2.3 / 4</t>
  </si>
  <si>
    <t>H1A4921</t>
  </si>
  <si>
    <t>2.3.4</t>
  </si>
  <si>
    <t>Cek T/U 003 - 004 OK</t>
  </si>
  <si>
    <t>H2B4921</t>
  </si>
  <si>
    <t>1.2 / 2</t>
  </si>
  <si>
    <t>ECC Big + CD Big + FT Small</t>
  </si>
  <si>
    <t>H1A4922</t>
  </si>
  <si>
    <t>Ekor Wire Banyak</t>
  </si>
  <si>
    <t>H5B4917</t>
  </si>
  <si>
    <t>Pompa Colling Tower Lubricant Utility Over Load</t>
  </si>
  <si>
    <t>Temperature Lubricant Utility Over Load</t>
  </si>
  <si>
    <t>V4A4921</t>
  </si>
  <si>
    <t>Colling Tower Lubricant Utility Mati</t>
  </si>
  <si>
    <t>Temperature Lubricant High</t>
  </si>
  <si>
    <t>V8D4922</t>
  </si>
  <si>
    <t xml:space="preserve"> Colling Tower Over Load</t>
  </si>
  <si>
    <t>Colling Tower Lubricant Utility Temperature Over Load</t>
  </si>
  <si>
    <t>VOA4922</t>
  </si>
  <si>
    <t>V9A4922</t>
  </si>
  <si>
    <t>V8C4922</t>
  </si>
  <si>
    <t>1 S/D 2</t>
  </si>
  <si>
    <t>Data PrintOut Kosong</t>
  </si>
  <si>
    <t>V4B4921</t>
  </si>
  <si>
    <t>7 S/D 10</t>
  </si>
  <si>
    <t>Data Print Out Kosong</t>
  </si>
  <si>
    <t>Print Out Blister / HVCT Tidak Ada</t>
  </si>
  <si>
    <t>Kertas Print Out Blister / HVCT Macet</t>
  </si>
  <si>
    <t>Ganti Tinta Print Out</t>
  </si>
  <si>
    <t>Pompa Colling Tower Utility Over Load</t>
  </si>
  <si>
    <t>V6B4922</t>
  </si>
  <si>
    <t>1.3.4.5.6</t>
  </si>
  <si>
    <t>Colling Tower Over Load</t>
  </si>
  <si>
    <t>Colling Tower Utility Lubricant Temperature Over Load</t>
  </si>
  <si>
    <t>VOB4922</t>
  </si>
  <si>
    <t xml:space="preserve">1 S/D 5 </t>
  </si>
  <si>
    <t>Pompa Colling Tower Utility Mati</t>
  </si>
  <si>
    <t>Pompa Utility Lubricant Macet</t>
  </si>
  <si>
    <t>V6A4922</t>
  </si>
  <si>
    <t>V8B4922</t>
  </si>
  <si>
    <t>Temperature Lubricant Naik</t>
  </si>
  <si>
    <t>Temperature Lubricant Utility Naik</t>
  </si>
  <si>
    <t>V9B4922</t>
  </si>
  <si>
    <t>V8A4922</t>
  </si>
  <si>
    <t>VOB4924</t>
  </si>
  <si>
    <t>VOB4923</t>
  </si>
  <si>
    <t>Cek Winding</t>
  </si>
  <si>
    <t>H764920</t>
  </si>
  <si>
    <t>Wire Vibrasi</t>
  </si>
  <si>
    <t>Repair Upper Sheave + Bottom Drum By MTN</t>
  </si>
  <si>
    <t>V8C4920</t>
  </si>
  <si>
    <t>- Stop - Ganti Dies Coat All CN</t>
  </si>
  <si>
    <t>1.3.5</t>
  </si>
  <si>
    <t>Primary Coat Alarm &amp; Lubricant Temperature Over</t>
  </si>
  <si>
    <t>Speed Capstand Fluktuasi</t>
  </si>
  <si>
    <t>Speed Capstand Fluktuasi &amp; Temperature Utility Naik</t>
  </si>
  <si>
    <t>V6B4921</t>
  </si>
  <si>
    <t>V6B4919</t>
  </si>
  <si>
    <t>Cleanign Parafin Pada Sheave</t>
  </si>
  <si>
    <t>11A4819</t>
  </si>
  <si>
    <t>Floating Dies Naik</t>
  </si>
  <si>
    <t>V6A4918</t>
  </si>
  <si>
    <t>CD Hempei &amp; Small</t>
  </si>
  <si>
    <t>11B4904</t>
  </si>
  <si>
    <t>CD Kecil &amp; CD Hempei</t>
  </si>
  <si>
    <t>Change Dies</t>
  </si>
  <si>
    <t>11B4908 / 11B4909</t>
  </si>
  <si>
    <t>3 / 3</t>
  </si>
  <si>
    <t>VOA4927</t>
  </si>
  <si>
    <t>Ganti Felt Inline</t>
  </si>
  <si>
    <t>H5A4906</t>
  </si>
  <si>
    <t>H1A4928</t>
  </si>
  <si>
    <t>Cek Kondisi Pisau SC</t>
  </si>
  <si>
    <t>H1B4928</t>
  </si>
  <si>
    <t>Cek Pisau SC</t>
  </si>
  <si>
    <t>H2B4928</t>
  </si>
  <si>
    <t>Rotari Dies Inline</t>
  </si>
  <si>
    <t>V8B4927 / V8B4926</t>
  </si>
  <si>
    <t>001.002 / 007</t>
  </si>
  <si>
    <t>Hempei</t>
  </si>
  <si>
    <t>V8B4926</t>
  </si>
  <si>
    <t>V8B4927</t>
  </si>
  <si>
    <t>Antisipasi Produk Kasar</t>
  </si>
  <si>
    <t>Varnish OC Kotor</t>
  </si>
  <si>
    <t>TakeOut Varnish &amp; Siwa Dies Coating</t>
  </si>
  <si>
    <t>V9A4O06</t>
  </si>
  <si>
    <t xml:space="preserve">Temperature Anneal 2  Fluktuasi </t>
  </si>
  <si>
    <t>V4A4O03</t>
  </si>
  <si>
    <t>Varnish Under Coat Off</t>
  </si>
  <si>
    <t>Supply Varnish Under Coat Off</t>
  </si>
  <si>
    <t>V9A4O04</t>
  </si>
  <si>
    <t>Wire Kendor Di Checking Dies All CN</t>
  </si>
  <si>
    <t>Wire Kendor Di Checking Dies</t>
  </si>
  <si>
    <t>12A4O06</t>
  </si>
  <si>
    <t>Ganti Setting Size Alarm Laser Micro</t>
  </si>
  <si>
    <t>11B4O01</t>
  </si>
  <si>
    <t>11A4O06</t>
  </si>
  <si>
    <t>11A4O01</t>
  </si>
  <si>
    <t>App Dakon</t>
  </si>
  <si>
    <t>V4A4O05</t>
  </si>
  <si>
    <t>Kardus Bagian Dalam Abnormal</t>
  </si>
  <si>
    <t>Varnish OC Kering</t>
  </si>
  <si>
    <t>Supply Varnish Tidak Keluar</t>
  </si>
  <si>
    <t>Valve Buka Tutup</t>
  </si>
  <si>
    <t>V9A4O09</t>
  </si>
  <si>
    <t>WS CP-500 Mati Mendadak</t>
  </si>
  <si>
    <t>All CN Kusut di Checking Dies</t>
  </si>
  <si>
    <t>Spool Scrap</t>
  </si>
  <si>
    <t>12A4O14</t>
  </si>
  <si>
    <t>1-PEW</t>
  </si>
  <si>
    <t>11A4O13</t>
  </si>
  <si>
    <t>Trip / Maintank Lubricant</t>
  </si>
  <si>
    <t>Pump Supply Lubricant Error, Maintank Trip</t>
  </si>
  <si>
    <t>Check Resistance Motor &amp; Cable Power Motor</t>
  </si>
  <si>
    <t>H1A4O11</t>
  </si>
  <si>
    <t>H2A4O11</t>
  </si>
  <si>
    <t>H2B4O11</t>
  </si>
  <si>
    <t>H1B4O11</t>
  </si>
  <si>
    <t>Tambah SPB Oil</t>
  </si>
  <si>
    <t>H1B4O19</t>
  </si>
  <si>
    <t>H2B4O16</t>
  </si>
  <si>
    <t>Reset T/U</t>
  </si>
  <si>
    <t>H2A4O18</t>
  </si>
  <si>
    <t>V6A4O20</t>
  </si>
  <si>
    <t>V8C4O23</t>
  </si>
  <si>
    <t>V6A4O24</t>
  </si>
  <si>
    <t>Berat di Bawah Minimum</t>
  </si>
  <si>
    <t>Berat Kurang 1kg dari Minimum Weight</t>
  </si>
  <si>
    <t>Kontrol Produksi</t>
  </si>
  <si>
    <t>V9B4O22</t>
  </si>
  <si>
    <t>V8A4O26</t>
  </si>
  <si>
    <t>013 / 014 / 015 / 016</t>
  </si>
  <si>
    <t>1 / 1 / 1 / 1</t>
  </si>
  <si>
    <t>018 / 017</t>
  </si>
  <si>
    <t>V8A4O24</t>
  </si>
  <si>
    <t>Sure &amp; Parafin</t>
  </si>
  <si>
    <t>CD Kotor</t>
  </si>
  <si>
    <t>Change CD &amp; Cleaning</t>
  </si>
  <si>
    <t>V8D4O28</t>
  </si>
  <si>
    <t>Sure</t>
  </si>
  <si>
    <t>Change Checking Dies</t>
  </si>
  <si>
    <t>V8D4O27</t>
  </si>
  <si>
    <t>PrintOut Data Blister/HVCT Tidak Ada</t>
  </si>
  <si>
    <t>Ok Sendiri</t>
  </si>
  <si>
    <t>11B4O13</t>
  </si>
  <si>
    <t>11B4O12</t>
  </si>
  <si>
    <t>Tension Felt Oven Dikendorkan</t>
  </si>
  <si>
    <t>11A4O28</t>
  </si>
  <si>
    <t>V6A4O15</t>
  </si>
  <si>
    <t>Ada Lalat di Nozzle</t>
  </si>
  <si>
    <t>Nozzle Dibersihkan dari Nozzle</t>
  </si>
  <si>
    <t>12B4O10</t>
  </si>
  <si>
    <t>11A4O22</t>
  </si>
  <si>
    <t>11A4O25</t>
  </si>
  <si>
    <t>Ganti Felt Oven Tension Diperkuat</t>
  </si>
  <si>
    <t>11A4O23</t>
  </si>
  <si>
    <t>M</t>
  </si>
  <si>
    <t>PrintOut KM Tidak Sesuai</t>
  </si>
  <si>
    <t>KM cn 5 Tidak Sama dengan yang Lain</t>
  </si>
  <si>
    <t>Resett PrintOut HVCT</t>
  </si>
  <si>
    <t>11A4O08</t>
  </si>
  <si>
    <t>Checking Dies Naik Terus</t>
  </si>
  <si>
    <t>Ganti Checking Dies</t>
  </si>
  <si>
    <t>WS FP-500 Naik</t>
  </si>
  <si>
    <t>WS Tidak Stabil</t>
  </si>
  <si>
    <t>V6B4O17</t>
  </si>
  <si>
    <t>Berat Under Weight</t>
  </si>
  <si>
    <t>VOA4O11</t>
  </si>
  <si>
    <t>2.5</t>
  </si>
  <si>
    <t>Primary Coating Alarm</t>
  </si>
  <si>
    <t>V6A4X04</t>
  </si>
  <si>
    <t>003 / 002</t>
  </si>
  <si>
    <t>Varnish Primary Coating Alarm</t>
  </si>
  <si>
    <t>V6A4X04 / V6A4X05</t>
  </si>
  <si>
    <t>2EIWAD-SS</t>
  </si>
  <si>
    <t>V6B4X04</t>
  </si>
  <si>
    <t>Cleaning</t>
  </si>
  <si>
    <t>H1A4O31</t>
  </si>
  <si>
    <t>H1B4O25</t>
  </si>
  <si>
    <t>OD Big + OD Small + FT Small</t>
  </si>
  <si>
    <t>H1A4O29</t>
  </si>
  <si>
    <t>3.5</t>
  </si>
  <si>
    <t>Pump Main Tank Trip Auto Suction Pump 2 On</t>
  </si>
  <si>
    <t>Check &amp; Repair</t>
  </si>
  <si>
    <t>H1A4O12</t>
  </si>
  <si>
    <t>Lubricant Alarm Light Bonding</t>
  </si>
  <si>
    <t>H1B4O12</t>
  </si>
  <si>
    <t>H2B4O12</t>
  </si>
  <si>
    <t>001 S/D 003</t>
  </si>
  <si>
    <t>H2A4O12</t>
  </si>
  <si>
    <t>Wire Silang / Dempet</t>
  </si>
  <si>
    <t>Wire Silang Sebelum Masuk Capstand</t>
  </si>
  <si>
    <t>Perbaiki Jalur Wire</t>
  </si>
  <si>
    <t>V8C4O22</t>
  </si>
  <si>
    <t>11B4O28</t>
  </si>
  <si>
    <t>Temperature Upper &amp; Catalyst Dinaikkan 10°C</t>
  </si>
  <si>
    <t>11B4O29</t>
  </si>
  <si>
    <t>1 S/D 3 / 1 S/D 3</t>
  </si>
  <si>
    <t>PrintOut Error</t>
  </si>
  <si>
    <t>PrintOut Error &amp; Kertas Macet</t>
  </si>
  <si>
    <t>11B4O30</t>
  </si>
  <si>
    <t>H1B4O02 (Advance Sample)</t>
  </si>
  <si>
    <t>H1A4X01</t>
  </si>
  <si>
    <t>V6A4X05</t>
  </si>
  <si>
    <t>11B4X09</t>
  </si>
  <si>
    <t>Ganti Final Dies Inline</t>
  </si>
  <si>
    <t>V8A4X05</t>
  </si>
  <si>
    <t>11A4X09 / 11A4X10</t>
  </si>
  <si>
    <t>006.007 / 001.002.003</t>
  </si>
  <si>
    <t>Dies OK</t>
  </si>
  <si>
    <t>V6A4X08</t>
  </si>
  <si>
    <t>Adjust WS Roll Coater SPB-200</t>
  </si>
  <si>
    <t>11A4X10 / 11A4X11</t>
  </si>
  <si>
    <t>Wire Dempet Step Ke 5</t>
  </si>
  <si>
    <t>Wire Dipisahin &amp; Adjust Felt Sebelum Oven</t>
  </si>
  <si>
    <t>V4A4X01</t>
  </si>
  <si>
    <t>Check Dies Coat Tidak Ada yang Naik</t>
  </si>
  <si>
    <t>V6A4X13</t>
  </si>
  <si>
    <t>Spool Change Manual</t>
  </si>
  <si>
    <t>Spool Change Error</t>
  </si>
  <si>
    <t>11A4X04</t>
  </si>
  <si>
    <t>11A4X03</t>
  </si>
  <si>
    <t>Produk LS</t>
  </si>
  <si>
    <t>11A4X13</t>
  </si>
  <si>
    <t>Hempei &amp; CD Grinding</t>
  </si>
  <si>
    <t>11B4X04</t>
  </si>
  <si>
    <t>Supply Varnish OC Kecil</t>
  </si>
  <si>
    <t>Filter Tanki Varnish Kotor</t>
  </si>
  <si>
    <t>Ganti Filter By Varnish Section</t>
  </si>
  <si>
    <t>V9A4X05</t>
  </si>
  <si>
    <t>Wire Dempet di Oven Cn 1.2</t>
  </si>
  <si>
    <t>Wire Cn 2 Fibrasi Dalam Oven</t>
  </si>
  <si>
    <t>Wire Cn 2 Dipisah / Lock Up</t>
  </si>
  <si>
    <t>V8C4X05</t>
  </si>
  <si>
    <t>SE NG</t>
  </si>
  <si>
    <t>Tension Capstand Pack Dikendorkan &amp; Rotary Dies Inline</t>
  </si>
  <si>
    <t>12A4X02</t>
  </si>
  <si>
    <t>Start Wire Tidak Ada</t>
  </si>
  <si>
    <t>Check Pisau Winding</t>
  </si>
  <si>
    <t>H4A4X11</t>
  </si>
  <si>
    <t>011</t>
  </si>
  <si>
    <t>H2A4X06</t>
  </si>
  <si>
    <t>Hujan Turun Disertai Angin Kencang</t>
  </si>
  <si>
    <t>Produk Ditutup Plastik &amp; Produk diRS</t>
  </si>
  <si>
    <t>Kena Debu &amp; Cipratan Air Hujan</t>
  </si>
  <si>
    <t>H1B4X01</t>
  </si>
  <si>
    <t>Out Sheave HVCT</t>
  </si>
  <si>
    <t>Loss Control Check Pass Line</t>
  </si>
  <si>
    <t>Dibetulkan Wirenya &amp; Double Check Pass Line</t>
  </si>
  <si>
    <t>H3A4X15 S/D H3A4X17</t>
  </si>
  <si>
    <t>Gulungan Kendor &amp; OD Big</t>
  </si>
  <si>
    <t>H2B4X07</t>
  </si>
  <si>
    <t>Temperature Cure Zone Heat Fluktuasi</t>
  </si>
  <si>
    <t>V9A4X17</t>
  </si>
  <si>
    <r>
      <t xml:space="preserve">Temperature Cure Zone Naik </t>
    </r>
    <r>
      <rPr>
        <sz val="10"/>
        <rFont val="Calibri"/>
        <family val="2"/>
      </rPr>
      <t>± 30°</t>
    </r>
  </si>
  <si>
    <t>V9A4X19</t>
  </si>
  <si>
    <t>V8A4X14</t>
  </si>
  <si>
    <t>V8A4X19</t>
  </si>
  <si>
    <t>017 / 018 / 019 / 020 / 021</t>
  </si>
  <si>
    <t>11B4X02</t>
  </si>
  <si>
    <t>V4B4X17 / V4B4X18</t>
  </si>
  <si>
    <t>7 / 7</t>
  </si>
  <si>
    <t>VOB4X20</t>
  </si>
  <si>
    <t>V4B4X16</t>
  </si>
  <si>
    <t>V4B4X18</t>
  </si>
  <si>
    <t>V8A4X06</t>
  </si>
  <si>
    <t>021</t>
  </si>
  <si>
    <t>OD Big &amp; CD Small</t>
  </si>
  <si>
    <t>V4B4X19</t>
  </si>
  <si>
    <t>Temperature SU PE</t>
  </si>
  <si>
    <t>Temperature Diturunkan</t>
  </si>
  <si>
    <t>VOB4X29</t>
  </si>
  <si>
    <t>D2IDW-4B2Y</t>
  </si>
  <si>
    <t>V4B4X29</t>
  </si>
  <si>
    <t>1.4.7.9</t>
  </si>
  <si>
    <t>Adjust Temperature Oven</t>
  </si>
  <si>
    <t>VOB4X28 &amp; VOB4X29</t>
  </si>
  <si>
    <t>CD Small &amp; CD Big</t>
  </si>
  <si>
    <t>V4B4Y01</t>
  </si>
  <si>
    <t>1.4.5.7.8.9</t>
  </si>
  <si>
    <t>Tambah Oil</t>
  </si>
  <si>
    <t>VOA4Y01</t>
  </si>
  <si>
    <t>Paralon Sobek / Terkelupas</t>
  </si>
  <si>
    <t>12A4Y03</t>
  </si>
  <si>
    <t>Tambah Level OIl</t>
  </si>
  <si>
    <t>V8D4Y04</t>
  </si>
  <si>
    <t>VOB4Y05</t>
  </si>
  <si>
    <t>Horiba Small &amp; CD Hempei &amp; CD Small</t>
  </si>
  <si>
    <t>V9A4Y04</t>
  </si>
  <si>
    <t>H1A4Y01</t>
  </si>
  <si>
    <t>ECC Moulding Big</t>
  </si>
  <si>
    <t>Rotary Dies &amp; Centering Ulang</t>
  </si>
  <si>
    <t>H2A4X28</t>
  </si>
  <si>
    <t>2.3.5</t>
  </si>
  <si>
    <t>H1A4X30</t>
  </si>
  <si>
    <t>Centering Back Sheave</t>
  </si>
  <si>
    <t>H2A4X29</t>
  </si>
  <si>
    <t>2.3.5 / 5</t>
  </si>
  <si>
    <t>H2A4X30</t>
  </si>
  <si>
    <t>Cek Temperature Oven</t>
  </si>
  <si>
    <t>H3B4X30</t>
  </si>
  <si>
    <t>H2A4Y01</t>
  </si>
  <si>
    <t>Change Dies Coating &amp; Rotary</t>
  </si>
  <si>
    <t xml:space="preserve">001 / 002 / 003 </t>
  </si>
  <si>
    <t>VOB4Y17</t>
  </si>
  <si>
    <t>VOB4Y18</t>
  </si>
  <si>
    <t>V6A4Y09</t>
  </si>
  <si>
    <t>2.3.5 / 2.3</t>
  </si>
  <si>
    <t>Salah Dokumen</t>
  </si>
  <si>
    <t>S/U MEAINA, Dokumen LAMCOR</t>
  </si>
  <si>
    <t>S/U Ulang</t>
  </si>
  <si>
    <t>12B4X30</t>
  </si>
  <si>
    <t>11A4Y05</t>
  </si>
  <si>
    <t>Gulungan Keluar / Bawah</t>
  </si>
  <si>
    <t>11A4X30</t>
  </si>
  <si>
    <t>V6A4X29</t>
  </si>
  <si>
    <t>Supplay Tidak Keluar</t>
  </si>
  <si>
    <t>Buka Tutup By Pass</t>
  </si>
  <si>
    <t>12A4Y09</t>
  </si>
  <si>
    <t>T/U Sebelumnya Ada Masalah Varnish Over Coat Kering</t>
  </si>
  <si>
    <t>Siwa &amp; Rotary Dies Coating</t>
  </si>
  <si>
    <t>VOB4Y02</t>
  </si>
  <si>
    <t>1.4.5.6.7.9</t>
  </si>
  <si>
    <t>V6A4Y03</t>
  </si>
  <si>
    <t>1EIWAD</t>
  </si>
  <si>
    <t>Hempei Ovality 11mm</t>
  </si>
  <si>
    <t>V8B4Y08</t>
  </si>
  <si>
    <t>V6A4Y06</t>
  </si>
  <si>
    <t>Varnish Over Coat Kering</t>
  </si>
  <si>
    <t>Adjust By Pass</t>
  </si>
  <si>
    <t>VOB4Y01</t>
  </si>
  <si>
    <t>Wire Break di Annealer</t>
  </si>
  <si>
    <t>Wire Break Cn 5Putus di Annealer 1</t>
  </si>
  <si>
    <t>V9A4Y09</t>
  </si>
  <si>
    <t>Problem Capstand Speed  B1</t>
  </si>
  <si>
    <t>V6B4Y08</t>
  </si>
  <si>
    <t>11A4Y08</t>
  </si>
  <si>
    <t>Cleaning Varnish Over Coat &amp; Cleaning Nozzle</t>
  </si>
  <si>
    <t>V9B4Y05</t>
  </si>
  <si>
    <t>V8A4Y11</t>
  </si>
  <si>
    <t>Hempei &amp; Blister</t>
  </si>
  <si>
    <t>CD Hempei &amp; App Blister</t>
  </si>
  <si>
    <t>Tidak Ada yang Naik</t>
  </si>
  <si>
    <t>V6A4Y14</t>
  </si>
  <si>
    <t>Laser Micro Alarm Cn 1 Big</t>
  </si>
  <si>
    <t>11A4Y13</t>
  </si>
  <si>
    <t>OD Small &amp; ECC Moulding Big</t>
  </si>
  <si>
    <t>Cleaning Dies Coating &amp; Rotary Dies</t>
  </si>
  <si>
    <t>H2A4Y13</t>
  </si>
  <si>
    <t xml:space="preserve">002 / 001 </t>
  </si>
  <si>
    <t>3 / 4</t>
  </si>
  <si>
    <t>Ganti Dies , Felt &amp; Check Pass Line</t>
  </si>
  <si>
    <t>H5A4X04</t>
  </si>
  <si>
    <t>H2A4X02</t>
  </si>
  <si>
    <t>5 / 2.3</t>
  </si>
  <si>
    <t>H2A4X03</t>
  </si>
  <si>
    <t>2.3 / 2.3</t>
  </si>
  <si>
    <t>CD Small &amp; Hempei 10mm</t>
  </si>
  <si>
    <t>V6A4Y08</t>
  </si>
  <si>
    <t>SE Big</t>
  </si>
  <si>
    <t>V6A4Y07</t>
  </si>
  <si>
    <t>2.3.4.1</t>
  </si>
  <si>
    <t>Temperature Catalyst Turun</t>
  </si>
  <si>
    <r>
      <t>Temperature Catalys tFluktuasi Turun 25</t>
    </r>
    <r>
      <rPr>
        <sz val="10"/>
        <rFont val="Calibri"/>
        <family val="2"/>
      </rPr>
      <t>°</t>
    </r>
    <r>
      <rPr>
        <sz val="10"/>
        <rFont val="Calibri"/>
        <family val="2"/>
        <scheme val="minor"/>
      </rPr>
      <t>C</t>
    </r>
  </si>
  <si>
    <t>VOB4Y16</t>
  </si>
  <si>
    <t>Display Temperature Anneal 2 Error</t>
  </si>
  <si>
    <t>Display Ditekan Biar Kendor</t>
  </si>
  <si>
    <t>V6B4Y06</t>
  </si>
  <si>
    <t>4.5.6</t>
  </si>
  <si>
    <t>Dibetulkan</t>
  </si>
  <si>
    <t>H5B4Y09 / H5B4Y10</t>
  </si>
  <si>
    <t>VOB4Y21 / VOB4Y22</t>
  </si>
  <si>
    <t>OD &amp; CD Scratch &amp; SE NG</t>
  </si>
  <si>
    <t>V6B4Y15</t>
  </si>
  <si>
    <t>VOB4Y15</t>
  </si>
  <si>
    <t>D. Alarm / Shower Lubricant / F.D Tidak Kena / Shower Lubricant Geser Sendiri</t>
  </si>
  <si>
    <t xml:space="preserve">F. Dies Tidak Kena Shower Lubricant </t>
  </si>
  <si>
    <t>Shower Lubricant F. Dies Diadjust Diarahkan</t>
  </si>
  <si>
    <t>V8A4Y08</t>
  </si>
  <si>
    <t>11B4Y06</t>
  </si>
  <si>
    <t>001-02 OK,  001-03 NG</t>
  </si>
  <si>
    <t>Middle Coat Kecil</t>
  </si>
  <si>
    <t>V9B4Y25</t>
  </si>
  <si>
    <t>Speed Roll Oil Dinaikkan</t>
  </si>
  <si>
    <t>H5A4Y25</t>
  </si>
  <si>
    <t>H5B4Y25</t>
  </si>
  <si>
    <r>
      <t>Temperature Catalyst Turun 23</t>
    </r>
    <r>
      <rPr>
        <sz val="10"/>
        <rFont val="Calibri"/>
        <family val="2"/>
      </rPr>
      <t>°</t>
    </r>
    <r>
      <rPr>
        <sz val="10"/>
        <rFont val="Calibri"/>
        <family val="2"/>
        <scheme val="minor"/>
      </rPr>
      <t>C</t>
    </r>
  </si>
  <si>
    <t>VOB4Y19</t>
  </si>
  <si>
    <t>CD Big &amp; Thickness Small</t>
  </si>
  <si>
    <t>V4B4X30</t>
  </si>
  <si>
    <t>Cn 01 NG, Cn 07 OK</t>
  </si>
</sst>
</file>

<file path=xl/styles.xml><?xml version="1.0" encoding="utf-8"?>
<styleSheet xmlns="http://schemas.openxmlformats.org/spreadsheetml/2006/main">
  <numFmts count="2">
    <numFmt numFmtId="164" formatCode="[$-409]d\-mmm;@"/>
    <numFmt numFmtId="165" formatCode="[$-409]mmm\-yy;@"/>
  </numFmts>
  <fonts count="5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u/>
      <sz val="16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</font>
    <font>
      <sz val="11.5"/>
      <name val="Calibri"/>
      <family val="2"/>
    </font>
    <font>
      <u/>
      <sz val="16"/>
      <name val="Calibri"/>
      <family val="2"/>
      <scheme val="minor"/>
    </font>
    <font>
      <sz val="10"/>
      <name val="Arial"/>
      <family val="2"/>
    </font>
    <font>
      <b/>
      <sz val="16"/>
      <name val="Calibri"/>
      <family val="2"/>
    </font>
    <font>
      <b/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64">
    <xf numFmtId="0" fontId="0" fillId="0" borderId="0" xfId="0"/>
    <xf numFmtId="0" fontId="28" fillId="0" borderId="0" xfId="0" applyFont="1"/>
    <xf numFmtId="0" fontId="0" fillId="0" borderId="0" xfId="0" applyAlignment="1">
      <alignment horizontal="left" vertical="center"/>
    </xf>
    <xf numFmtId="0" fontId="27" fillId="3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left" vertical="center"/>
    </xf>
    <xf numFmtId="0" fontId="29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left" vertical="center"/>
    </xf>
    <xf numFmtId="2" fontId="27" fillId="2" borderId="1" xfId="0" applyNumberFormat="1" applyFont="1" applyFill="1" applyBorder="1" applyAlignment="1">
      <alignment horizontal="center" vertical="center"/>
    </xf>
    <xf numFmtId="164" fontId="27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49" fontId="27" fillId="2" borderId="1" xfId="0" applyNumberFormat="1" applyFont="1" applyFill="1" applyBorder="1" applyAlignment="1">
      <alignment horizontal="center" vertical="center"/>
    </xf>
    <xf numFmtId="0" fontId="27" fillId="2" borderId="1" xfId="0" applyNumberFormat="1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23" fillId="0" borderId="0" xfId="0" applyFont="1" applyBorder="1"/>
    <xf numFmtId="0" fontId="0" fillId="0" borderId="0" xfId="0" applyBorder="1"/>
    <xf numFmtId="164" fontId="29" fillId="2" borderId="1" xfId="0" applyNumberFormat="1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center"/>
    </xf>
    <xf numFmtId="0" fontId="27" fillId="0" borderId="1" xfId="0" applyFont="1" applyFill="1" applyBorder="1" applyAlignment="1">
      <alignment horizontal="center" vertical="center"/>
    </xf>
    <xf numFmtId="49" fontId="27" fillId="0" borderId="1" xfId="0" applyNumberFormat="1" applyFont="1" applyFill="1" applyBorder="1" applyAlignment="1">
      <alignment horizontal="center" vertical="center"/>
    </xf>
    <xf numFmtId="0" fontId="30" fillId="0" borderId="1" xfId="0" applyFont="1" applyFill="1" applyBorder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6" fillId="0" borderId="0" xfId="0" applyFont="1" applyAlignment="1">
      <alignment horizontal="center"/>
    </xf>
    <xf numFmtId="165" fontId="25" fillId="2" borderId="1" xfId="0" applyNumberFormat="1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0" fontId="33" fillId="0" borderId="1" xfId="0" applyFont="1" applyFill="1" applyBorder="1" applyAlignment="1">
      <alignment horizontal="left" vertical="center"/>
    </xf>
    <xf numFmtId="2" fontId="33" fillId="0" borderId="1" xfId="0" applyNumberFormat="1" applyFont="1" applyFill="1" applyBorder="1" applyAlignment="1">
      <alignment horizontal="center" vertical="center"/>
    </xf>
    <xf numFmtId="164" fontId="33" fillId="0" borderId="1" xfId="0" applyNumberFormat="1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/>
    </xf>
    <xf numFmtId="0" fontId="36" fillId="0" borderId="0" xfId="0" applyFont="1" applyFill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7" fillId="0" borderId="1" xfId="0" applyFont="1" applyFill="1" applyBorder="1" applyAlignment="1">
      <alignment horizontal="left" vertical="center"/>
    </xf>
    <xf numFmtId="0" fontId="40" fillId="0" borderId="0" xfId="0" applyFont="1" applyFill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2" fontId="37" fillId="0" borderId="1" xfId="0" applyNumberFormat="1" applyFont="1" applyFill="1" applyBorder="1" applyAlignment="1">
      <alignment horizontal="center" vertical="center"/>
    </xf>
    <xf numFmtId="164" fontId="37" fillId="0" borderId="1" xfId="0" applyNumberFormat="1" applyFont="1" applyFill="1" applyBorder="1" applyAlignment="1">
      <alignment horizontal="center" vertical="center"/>
    </xf>
    <xf numFmtId="0" fontId="38" fillId="0" borderId="1" xfId="0" applyFont="1" applyFill="1" applyBorder="1" applyAlignment="1">
      <alignment horizontal="center" vertical="center"/>
    </xf>
    <xf numFmtId="0" fontId="39" fillId="0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center"/>
    </xf>
    <xf numFmtId="0" fontId="27" fillId="0" borderId="1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 applyAlignment="1">
      <alignment horizontal="left"/>
    </xf>
    <xf numFmtId="16" fontId="27" fillId="2" borderId="1" xfId="0" applyNumberFormat="1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left" vertical="center" wrapText="1"/>
    </xf>
    <xf numFmtId="164" fontId="27" fillId="0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left" vertical="center" wrapText="1"/>
    </xf>
    <xf numFmtId="164" fontId="29" fillId="0" borderId="1" xfId="0" applyNumberFormat="1" applyFont="1" applyFill="1" applyBorder="1" applyAlignment="1">
      <alignment horizontal="center" vertical="center"/>
    </xf>
    <xf numFmtId="0" fontId="41" fillId="6" borderId="1" xfId="0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left" vertical="center"/>
    </xf>
    <xf numFmtId="0" fontId="41" fillId="0" borderId="1" xfId="0" applyFont="1" applyFill="1" applyBorder="1" applyAlignment="1">
      <alignment horizontal="center" vertical="center"/>
    </xf>
    <xf numFmtId="49" fontId="41" fillId="0" borderId="1" xfId="0" applyNumberFormat="1" applyFont="1" applyFill="1" applyBorder="1" applyAlignment="1">
      <alignment horizontal="center" vertical="center"/>
    </xf>
    <xf numFmtId="0" fontId="41" fillId="6" borderId="2" xfId="0" applyFont="1" applyFill="1" applyBorder="1" applyAlignment="1">
      <alignment horizontal="center" vertical="center"/>
    </xf>
    <xf numFmtId="0" fontId="41" fillId="0" borderId="2" xfId="0" applyNumberFormat="1" applyFont="1" applyFill="1" applyBorder="1" applyAlignment="1">
      <alignment horizontal="center" vertical="center"/>
    </xf>
    <xf numFmtId="0" fontId="41" fillId="0" borderId="2" xfId="0" applyFont="1" applyFill="1" applyBorder="1" applyAlignment="1">
      <alignment horizontal="left" vertical="center"/>
    </xf>
    <xf numFmtId="0" fontId="41" fillId="0" borderId="2" xfId="0" applyFont="1" applyFill="1" applyBorder="1" applyAlignment="1">
      <alignment horizontal="center" vertical="center"/>
    </xf>
    <xf numFmtId="49" fontId="41" fillId="0" borderId="2" xfId="0" applyNumberFormat="1" applyFont="1" applyFill="1" applyBorder="1" applyAlignment="1">
      <alignment horizontal="center" vertical="center"/>
    </xf>
    <xf numFmtId="164" fontId="41" fillId="0" borderId="1" xfId="0" applyNumberFormat="1" applyFont="1" applyFill="1" applyBorder="1" applyAlignment="1">
      <alignment horizontal="center" vertical="center"/>
    </xf>
    <xf numFmtId="0" fontId="44" fillId="0" borderId="1" xfId="0" applyFont="1" applyFill="1" applyBorder="1" applyAlignment="1">
      <alignment horizontal="center" vertical="center"/>
    </xf>
    <xf numFmtId="0" fontId="45" fillId="0" borderId="1" xfId="0" applyFont="1" applyFill="1" applyBorder="1" applyAlignment="1">
      <alignment horizontal="center" vertical="center"/>
    </xf>
    <xf numFmtId="0" fontId="46" fillId="0" borderId="0" xfId="0" applyFont="1" applyFill="1" applyAlignment="1">
      <alignment horizontal="center" vertical="center"/>
    </xf>
    <xf numFmtId="0" fontId="0" fillId="0" borderId="0" xfId="0" applyFill="1"/>
    <xf numFmtId="165" fontId="42" fillId="0" borderId="2" xfId="0" applyNumberFormat="1" applyFont="1" applyFill="1" applyBorder="1" applyAlignment="1">
      <alignment horizontal="center" vertical="center"/>
    </xf>
    <xf numFmtId="0" fontId="42" fillId="0" borderId="2" xfId="0" applyFont="1" applyFill="1" applyBorder="1" applyAlignment="1">
      <alignment horizontal="center" vertical="center"/>
    </xf>
    <xf numFmtId="2" fontId="41" fillId="0" borderId="2" xfId="0" applyNumberFormat="1" applyFont="1" applyFill="1" applyBorder="1" applyAlignment="1">
      <alignment horizontal="center" vertical="center"/>
    </xf>
    <xf numFmtId="164" fontId="41" fillId="0" borderId="2" xfId="0" applyNumberFormat="1" applyFont="1" applyFill="1" applyBorder="1" applyAlignment="1">
      <alignment horizontal="center" vertical="center"/>
    </xf>
    <xf numFmtId="164" fontId="43" fillId="0" borderId="2" xfId="0" applyNumberFormat="1" applyFont="1" applyFill="1" applyBorder="1" applyAlignment="1">
      <alignment horizontal="center" vertical="center"/>
    </xf>
    <xf numFmtId="0" fontId="44" fillId="0" borderId="2" xfId="0" applyFont="1" applyFill="1" applyBorder="1" applyAlignment="1">
      <alignment horizontal="center" vertical="center"/>
    </xf>
    <xf numFmtId="0" fontId="45" fillId="0" borderId="2" xfId="0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165" fontId="42" fillId="6" borderId="2" xfId="0" applyNumberFormat="1" applyFont="1" applyFill="1" applyBorder="1" applyAlignment="1">
      <alignment horizontal="center" vertical="center"/>
    </xf>
    <xf numFmtId="0" fontId="42" fillId="6" borderId="2" xfId="0" applyFont="1" applyFill="1" applyBorder="1" applyAlignment="1">
      <alignment horizontal="center" vertical="center"/>
    </xf>
    <xf numFmtId="49" fontId="41" fillId="0" borderId="2" xfId="0" applyNumberFormat="1" applyFont="1" applyFill="1" applyBorder="1" applyAlignment="1">
      <alignment horizontal="left" vertical="center"/>
    </xf>
    <xf numFmtId="0" fontId="45" fillId="0" borderId="2" xfId="0" applyNumberFormat="1" applyFont="1" applyFill="1" applyBorder="1" applyAlignment="1">
      <alignment horizontal="center" vertical="center"/>
    </xf>
    <xf numFmtId="0" fontId="32" fillId="0" borderId="0" xfId="0" applyNumberFormat="1" applyFont="1" applyAlignment="1">
      <alignment horizontal="center"/>
    </xf>
    <xf numFmtId="0" fontId="26" fillId="5" borderId="2" xfId="0" applyNumberFormat="1" applyFont="1" applyFill="1" applyBorder="1" applyAlignment="1">
      <alignment horizontal="center" vertical="center" wrapText="1"/>
    </xf>
    <xf numFmtId="0" fontId="29" fillId="2" borderId="1" xfId="0" applyNumberFormat="1" applyFont="1" applyFill="1" applyBorder="1" applyAlignment="1">
      <alignment horizontal="center" vertical="center"/>
    </xf>
    <xf numFmtId="0" fontId="33" fillId="0" borderId="1" xfId="0" applyNumberFormat="1" applyFont="1" applyFill="1" applyBorder="1" applyAlignment="1">
      <alignment horizontal="center" vertical="center"/>
    </xf>
    <xf numFmtId="0" fontId="37" fillId="0" borderId="1" xfId="0" applyNumberFormat="1" applyFont="1" applyFill="1" applyBorder="1" applyAlignment="1">
      <alignment horizontal="center" vertical="center"/>
    </xf>
    <xf numFmtId="0" fontId="41" fillId="0" borderId="1" xfId="0" applyNumberFormat="1" applyFont="1" applyFill="1" applyBorder="1" applyAlignment="1">
      <alignment horizontal="center" vertical="center"/>
    </xf>
    <xf numFmtId="0" fontId="43" fillId="0" borderId="2" xfId="0" applyNumberFormat="1" applyFont="1" applyFill="1" applyBorder="1" applyAlignment="1">
      <alignment horizontal="center" vertical="center"/>
    </xf>
    <xf numFmtId="49" fontId="32" fillId="0" borderId="0" xfId="0" applyNumberFormat="1" applyFont="1" applyAlignment="1">
      <alignment horizontal="center"/>
    </xf>
    <xf numFmtId="49" fontId="0" fillId="0" borderId="0" xfId="0" applyNumberFormat="1"/>
    <xf numFmtId="49" fontId="26" fillId="5" borderId="2" xfId="0" applyNumberFormat="1" applyFont="1" applyFill="1" applyBorder="1" applyAlignment="1">
      <alignment horizontal="center" vertical="center" wrapText="1"/>
    </xf>
    <xf numFmtId="0" fontId="27" fillId="0" borderId="3" xfId="0" applyNumberFormat="1" applyFont="1" applyFill="1" applyBorder="1" applyAlignment="1">
      <alignment horizontal="center" vertical="center"/>
    </xf>
    <xf numFmtId="0" fontId="42" fillId="0" borderId="1" xfId="0" applyFont="1" applyFill="1" applyBorder="1" applyAlignment="1">
      <alignment horizontal="center" vertical="center"/>
    </xf>
    <xf numFmtId="2" fontId="41" fillId="0" borderId="1" xfId="0" applyNumberFormat="1" applyFont="1" applyFill="1" applyBorder="1" applyAlignment="1">
      <alignment horizontal="center" vertical="center"/>
    </xf>
    <xf numFmtId="49" fontId="41" fillId="0" borderId="1" xfId="0" applyNumberFormat="1" applyFont="1" applyFill="1" applyBorder="1" applyAlignment="1">
      <alignment horizontal="left" vertical="center"/>
    </xf>
    <xf numFmtId="0" fontId="45" fillId="0" borderId="1" xfId="0" applyNumberFormat="1" applyFont="1" applyFill="1" applyBorder="1" applyAlignment="1">
      <alignment horizontal="center" vertical="center"/>
    </xf>
    <xf numFmtId="165" fontId="42" fillId="6" borderId="1" xfId="0" applyNumberFormat="1" applyFont="1" applyFill="1" applyBorder="1" applyAlignment="1">
      <alignment horizontal="center" vertical="center"/>
    </xf>
    <xf numFmtId="165" fontId="42" fillId="0" borderId="1" xfId="0" applyNumberFormat="1" applyFont="1" applyFill="1" applyBorder="1" applyAlignment="1">
      <alignment horizontal="center" vertical="center"/>
    </xf>
    <xf numFmtId="0" fontId="44" fillId="0" borderId="1" xfId="0" applyNumberFormat="1" applyFont="1" applyFill="1" applyBorder="1" applyAlignment="1">
      <alignment horizontal="center" vertical="center"/>
    </xf>
    <xf numFmtId="0" fontId="44" fillId="0" borderId="2" xfId="0" applyNumberFormat="1" applyFont="1" applyFill="1" applyBorder="1" applyAlignment="1">
      <alignment horizontal="center" vertical="center"/>
    </xf>
    <xf numFmtId="49" fontId="41" fillId="0" borderId="1" xfId="0" quotePrefix="1" applyNumberFormat="1" applyFont="1" applyFill="1" applyBorder="1" applyAlignment="1">
      <alignment horizontal="left" vertical="center" wrapText="1"/>
    </xf>
    <xf numFmtId="0" fontId="21" fillId="2" borderId="1" xfId="0" applyFont="1" applyFill="1" applyBorder="1" applyAlignment="1">
      <alignment horizontal="center" vertical="center"/>
    </xf>
    <xf numFmtId="49" fontId="41" fillId="0" borderId="1" xfId="0" applyNumberFormat="1" applyFont="1" applyFill="1" applyBorder="1" applyAlignment="1">
      <alignment horizontal="left" vertical="center" wrapText="1"/>
    </xf>
    <xf numFmtId="0" fontId="41" fillId="0" borderId="1" xfId="0" applyFont="1" applyFill="1" applyBorder="1" applyAlignment="1">
      <alignment horizontal="left" vertical="center" wrapText="1"/>
    </xf>
    <xf numFmtId="49" fontId="41" fillId="0" borderId="2" xfId="0" applyNumberFormat="1" applyFont="1" applyFill="1" applyBorder="1" applyAlignment="1">
      <alignment horizontal="left" vertical="center" wrapText="1"/>
    </xf>
    <xf numFmtId="0" fontId="42" fillId="6" borderId="1" xfId="0" applyFont="1" applyFill="1" applyBorder="1" applyAlignment="1">
      <alignment horizontal="center" vertical="center"/>
    </xf>
    <xf numFmtId="1" fontId="45" fillId="0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Fill="1" applyBorder="1" applyAlignment="1">
      <alignment horizontal="left" vertical="center"/>
    </xf>
    <xf numFmtId="1" fontId="45" fillId="0" borderId="2" xfId="0" applyNumberFormat="1" applyFont="1" applyFill="1" applyBorder="1" applyAlignment="1">
      <alignment horizontal="center" vertical="center"/>
    </xf>
    <xf numFmtId="2" fontId="27" fillId="0" borderId="1" xfId="0" applyNumberFormat="1" applyFont="1" applyFill="1" applyBorder="1" applyAlignment="1">
      <alignment horizontal="center" vertical="center"/>
    </xf>
    <xf numFmtId="2" fontId="27" fillId="0" borderId="2" xfId="0" applyNumberFormat="1" applyFont="1" applyFill="1" applyBorder="1" applyAlignment="1">
      <alignment horizontal="center" vertical="center"/>
    </xf>
    <xf numFmtId="0" fontId="27" fillId="0" borderId="2" xfId="0" applyFont="1" applyFill="1" applyBorder="1" applyAlignment="1">
      <alignment horizontal="center" vertical="center"/>
    </xf>
    <xf numFmtId="49" fontId="27" fillId="0" borderId="2" xfId="0" applyNumberFormat="1" applyFont="1" applyFill="1" applyBorder="1" applyAlignment="1">
      <alignment horizontal="left" vertical="center"/>
    </xf>
    <xf numFmtId="0" fontId="27" fillId="0" borderId="2" xfId="0" applyNumberFormat="1" applyFont="1" applyFill="1" applyBorder="1" applyAlignment="1">
      <alignment horizontal="center" vertical="center"/>
    </xf>
    <xf numFmtId="49" fontId="27" fillId="0" borderId="2" xfId="0" applyNumberFormat="1" applyFont="1" applyFill="1" applyBorder="1" applyAlignment="1">
      <alignment horizontal="center" vertical="center"/>
    </xf>
    <xf numFmtId="165" fontId="25" fillId="0" borderId="1" xfId="0" applyNumberFormat="1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49" fontId="27" fillId="0" borderId="2" xfId="0" applyNumberFormat="1" applyFont="1" applyFill="1" applyBorder="1" applyAlignment="1">
      <alignment horizontal="left" vertical="center" wrapText="1"/>
    </xf>
    <xf numFmtId="0" fontId="41" fillId="0" borderId="2" xfId="0" applyFont="1" applyFill="1" applyBorder="1" applyAlignment="1">
      <alignment horizontal="left" vertical="center" wrapText="1"/>
    </xf>
    <xf numFmtId="0" fontId="48" fillId="0" borderId="0" xfId="0" applyFont="1" applyAlignment="1">
      <alignment horizontal="center"/>
    </xf>
    <xf numFmtId="0" fontId="49" fillId="0" borderId="0" xfId="0" applyFont="1"/>
    <xf numFmtId="164" fontId="29" fillId="0" borderId="2" xfId="0" applyNumberFormat="1" applyFont="1" applyFill="1" applyBorder="1" applyAlignment="1">
      <alignment horizontal="center" vertical="center"/>
    </xf>
    <xf numFmtId="164" fontId="27" fillId="0" borderId="2" xfId="0" applyNumberFormat="1" applyFont="1" applyFill="1" applyBorder="1" applyAlignment="1">
      <alignment horizontal="center" vertical="center"/>
    </xf>
    <xf numFmtId="49" fontId="27" fillId="0" borderId="1" xfId="0" applyNumberFormat="1" applyFont="1" applyFill="1" applyBorder="1" applyAlignment="1">
      <alignment horizontal="left" vertical="center" wrapText="1"/>
    </xf>
    <xf numFmtId="49" fontId="27" fillId="0" borderId="1" xfId="0" quotePrefix="1" applyNumberFormat="1" applyFon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center" vertical="center"/>
    </xf>
    <xf numFmtId="16" fontId="27" fillId="0" borderId="1" xfId="0" applyNumberFormat="1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27" fillId="0" borderId="1" xfId="0" quotePrefix="1" applyFont="1" applyFill="1" applyBorder="1" applyAlignment="1">
      <alignment horizontal="left" vertical="center" wrapText="1"/>
    </xf>
    <xf numFmtId="0" fontId="18" fillId="0" borderId="1" xfId="0" applyFont="1" applyFill="1" applyBorder="1" applyAlignment="1">
      <alignment horizontal="center" vertical="center"/>
    </xf>
    <xf numFmtId="49" fontId="27" fillId="0" borderId="1" xfId="0" quotePrefix="1" applyNumberFormat="1" applyFont="1" applyFill="1" applyBorder="1" applyAlignment="1">
      <alignment horizontal="center" vertical="center"/>
    </xf>
    <xf numFmtId="0" fontId="27" fillId="0" borderId="1" xfId="0" quotePrefix="1" applyNumberFormat="1" applyFont="1" applyFill="1" applyBorder="1" applyAlignment="1">
      <alignment horizontal="center" vertical="center"/>
    </xf>
    <xf numFmtId="0" fontId="31" fillId="0" borderId="1" xfId="0" applyNumberFormat="1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27" fillId="0" borderId="4" xfId="0" applyFont="1" applyFill="1" applyBorder="1" applyAlignment="1">
      <alignment horizontal="left" vertical="center" wrapText="1"/>
    </xf>
    <xf numFmtId="0" fontId="16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3" fillId="6" borderId="2" xfId="0" applyFont="1" applyFill="1" applyBorder="1" applyAlignment="1">
      <alignment horizontal="center" vertical="center"/>
    </xf>
    <xf numFmtId="165" fontId="13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16" fontId="4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30" fillId="0" borderId="1" xfId="0" applyNumberFormat="1" applyFont="1" applyFill="1" applyBorder="1" applyAlignment="1">
      <alignment horizontal="center"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5" xfId="0" applyFont="1" applyFill="1" applyBorder="1" applyAlignment="1">
      <alignment horizontal="left" vertical="center"/>
    </xf>
    <xf numFmtId="0" fontId="50" fillId="0" borderId="0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center" vertical="center"/>
    </xf>
  </cellXfs>
  <cellStyles count="1">
    <cellStyle name="Normal" xfId="0" builtinId="0"/>
  </cellStyles>
  <dxfs count="58"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ill>
        <patternFill>
          <bgColor rgb="FF00B050"/>
        </patternFill>
      </fill>
    </dxf>
    <dxf>
      <font>
        <strike val="0"/>
        <outline val="0"/>
        <shadow val="0"/>
        <u val="none"/>
        <vertAlign val="baseline"/>
        <name val="Calibri"/>
        <scheme val="none"/>
      </font>
    </dxf>
    <dxf>
      <font>
        <strike val="0"/>
        <outline val="0"/>
        <shadow val="0"/>
        <u val="none"/>
        <vertAlign val="baseline"/>
        <name val="Calibri"/>
        <scheme val="none"/>
      </font>
      <alignment horizontal="center" vertical="center" textRotation="0" wrapText="0" indent="0" relativeIndent="255" justifyLastLine="0" shrinkToFit="0" readingOrder="0"/>
    </dxf>
    <dxf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color rgb="FFFF0000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rgb="FF0070C0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$-409]d\-mmm;@"/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Calibri"/>
        <scheme val="minor"/>
      </font>
      <numFmt numFmtId="164" formatCode="[$-409]d\-mmm;@"/>
      <fill>
        <patternFill patternType="solid">
          <fgColor indexed="64"/>
          <bgColor indexed="13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$-409]d\-mmm;@"/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4" formatCode="[$-409]d\-mmm;@"/>
      <fill>
        <patternFill patternType="solid">
          <fgColor indexed="64"/>
          <bgColor indexed="13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fill>
        <patternFill patternType="solid">
          <fgColor indexed="64"/>
          <bgColor indexed="13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center" textRotation="0" wrapText="0" inden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indexed="13"/>
        </patternFill>
      </fill>
      <alignment horizontal="left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indexed="13"/>
        </patternFill>
      </fill>
      <alignment horizontal="left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2" formatCode="0.00"/>
      <fill>
        <patternFill patternType="solid">
          <fgColor indexed="64"/>
          <bgColor indexed="13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none"/>
      </font>
    </dxf>
    <dxf>
      <font>
        <strike val="0"/>
        <outline val="0"/>
        <shadow val="0"/>
        <u val="none"/>
        <vertAlign val="baseline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[Abnormality List 2024.xlsm]Sheet1!PivotTable1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Sheet1!$B$4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Sheet1!$A$5:$A$23</c:f>
              <c:strCache>
                <c:ptCount val="18"/>
                <c:pt idx="0">
                  <c:v>Jan-22</c:v>
                </c:pt>
                <c:pt idx="1">
                  <c:v>Feb-22</c:v>
                </c:pt>
                <c:pt idx="2">
                  <c:v>Mar-22</c:v>
                </c:pt>
                <c:pt idx="3">
                  <c:v>Apr-22</c:v>
                </c:pt>
                <c:pt idx="4">
                  <c:v>May-22</c:v>
                </c:pt>
                <c:pt idx="5">
                  <c:v>Jun-22</c:v>
                </c:pt>
                <c:pt idx="6">
                  <c:v>Jul-22</c:v>
                </c:pt>
                <c:pt idx="7">
                  <c:v>Jan-23</c:v>
                </c:pt>
                <c:pt idx="8">
                  <c:v>Feb-23</c:v>
                </c:pt>
                <c:pt idx="9">
                  <c:v>Mar-23</c:v>
                </c:pt>
                <c:pt idx="10">
                  <c:v>Apr-23</c:v>
                </c:pt>
                <c:pt idx="11">
                  <c:v>May-23</c:v>
                </c:pt>
                <c:pt idx="12">
                  <c:v>Jun-23</c:v>
                </c:pt>
                <c:pt idx="13">
                  <c:v>Jul-23</c:v>
                </c:pt>
                <c:pt idx="14">
                  <c:v>Aug-23</c:v>
                </c:pt>
                <c:pt idx="15">
                  <c:v>Sep-23</c:v>
                </c:pt>
                <c:pt idx="16">
                  <c:v>Oct-23</c:v>
                </c:pt>
                <c:pt idx="17">
                  <c:v>Nov-23</c:v>
                </c:pt>
              </c:strCache>
            </c:strRef>
          </c:cat>
          <c:val>
            <c:numRef>
              <c:f>Sheet1!$B$5:$B$23</c:f>
              <c:numCache>
                <c:formatCode>General</c:formatCode>
                <c:ptCount val="18"/>
                <c:pt idx="0">
                  <c:v>12</c:v>
                </c:pt>
                <c:pt idx="1">
                  <c:v>7</c:v>
                </c:pt>
                <c:pt idx="2">
                  <c:v>8</c:v>
                </c:pt>
                <c:pt idx="3">
                  <c:v>13</c:v>
                </c:pt>
                <c:pt idx="4">
                  <c:v>2</c:v>
                </c:pt>
                <c:pt idx="5">
                  <c:v>6</c:v>
                </c:pt>
                <c:pt idx="6">
                  <c:v>5</c:v>
                </c:pt>
                <c:pt idx="7">
                  <c:v>23</c:v>
                </c:pt>
                <c:pt idx="8">
                  <c:v>35</c:v>
                </c:pt>
                <c:pt idx="9">
                  <c:v>49</c:v>
                </c:pt>
                <c:pt idx="10">
                  <c:v>36</c:v>
                </c:pt>
                <c:pt idx="11">
                  <c:v>38</c:v>
                </c:pt>
                <c:pt idx="12">
                  <c:v>63</c:v>
                </c:pt>
                <c:pt idx="13">
                  <c:v>28</c:v>
                </c:pt>
                <c:pt idx="14">
                  <c:v>52</c:v>
                </c:pt>
                <c:pt idx="15">
                  <c:v>59</c:v>
                </c:pt>
                <c:pt idx="16">
                  <c:v>80</c:v>
                </c:pt>
                <c:pt idx="17">
                  <c:v>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112-4741-8AE4-37B12EBB3D78}"/>
            </c:ext>
          </c:extLst>
        </c:ser>
        <c:gapWidth val="77"/>
        <c:overlap val="100"/>
        <c:axId val="149974016"/>
        <c:axId val="151323392"/>
      </c:barChart>
      <c:catAx>
        <c:axId val="149974016"/>
        <c:scaling>
          <c:orientation val="minMax"/>
        </c:scaling>
        <c:axPos val="b"/>
        <c:numFmt formatCode="General" sourceLinked="0"/>
        <c:tickLblPos val="nextTo"/>
        <c:crossAx val="151323392"/>
        <c:crosses val="autoZero"/>
        <c:auto val="1"/>
        <c:lblAlgn val="ctr"/>
        <c:lblOffset val="100"/>
      </c:catAx>
      <c:valAx>
        <c:axId val="151323392"/>
        <c:scaling>
          <c:orientation val="minMax"/>
        </c:scaling>
        <c:axPos val="l"/>
        <c:majorGridlines/>
        <c:numFmt formatCode="General" sourceLinked="1"/>
        <c:tickLblPos val="nextTo"/>
        <c:crossAx val="14997401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[Abnormality List 2024.xlsm]Sheet1!PivotTable4</c:name>
    <c:fmtId val="1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  <c:pivotFmt>
        <c:idx val="217"/>
        <c:marker>
          <c:symbol val="none"/>
        </c:marker>
      </c:pivotFmt>
      <c:pivotFmt>
        <c:idx val="218"/>
        <c:marker>
          <c:symbol val="none"/>
        </c:marker>
      </c:pivotFmt>
      <c:pivotFmt>
        <c:idx val="219"/>
        <c:marker>
          <c:symbol val="none"/>
        </c:marker>
      </c:pivotFmt>
      <c:pivotFmt>
        <c:idx val="220"/>
        <c:marker>
          <c:symbol val="none"/>
        </c:marker>
      </c:pivotFmt>
      <c:pivotFmt>
        <c:idx val="221"/>
        <c:marker>
          <c:symbol val="none"/>
        </c:marker>
      </c:pivotFmt>
      <c:pivotFmt>
        <c:idx val="222"/>
        <c:marker>
          <c:symbol val="none"/>
        </c:marker>
      </c:pivotFmt>
      <c:pivotFmt>
        <c:idx val="223"/>
        <c:marker>
          <c:symbol val="none"/>
        </c:marker>
      </c:pivotFmt>
      <c:pivotFmt>
        <c:idx val="224"/>
        <c:marker>
          <c:symbol val="none"/>
        </c:marker>
      </c:pivotFmt>
      <c:pivotFmt>
        <c:idx val="225"/>
        <c:marker>
          <c:symbol val="none"/>
        </c:marker>
      </c:pivotFmt>
      <c:pivotFmt>
        <c:idx val="226"/>
        <c:marker>
          <c:symbol val="none"/>
        </c:marker>
      </c:pivotFmt>
      <c:pivotFmt>
        <c:idx val="227"/>
        <c:marker>
          <c:symbol val="none"/>
        </c:marker>
      </c:pivotFmt>
      <c:pivotFmt>
        <c:idx val="228"/>
        <c:marker>
          <c:symbol val="none"/>
        </c:marker>
      </c:pivotFmt>
      <c:pivotFmt>
        <c:idx val="229"/>
        <c:marker>
          <c:symbol val="none"/>
        </c:marker>
      </c:pivotFmt>
      <c:pivotFmt>
        <c:idx val="230"/>
        <c:marker>
          <c:symbol val="none"/>
        </c:marker>
      </c:pivotFmt>
      <c:pivotFmt>
        <c:idx val="231"/>
        <c:marker>
          <c:symbol val="none"/>
        </c:marker>
      </c:pivotFmt>
      <c:pivotFmt>
        <c:idx val="232"/>
        <c:marker>
          <c:symbol val="none"/>
        </c:marker>
      </c:pivotFmt>
      <c:pivotFmt>
        <c:idx val="233"/>
        <c:marker>
          <c:symbol val="none"/>
        </c:marker>
      </c:pivotFmt>
      <c:pivotFmt>
        <c:idx val="234"/>
        <c:marker>
          <c:symbol val="none"/>
        </c:marker>
      </c:pivotFmt>
      <c:pivotFmt>
        <c:idx val="2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36"/>
        <c:marker>
          <c:symbol val="none"/>
        </c:marker>
      </c:pivotFmt>
      <c:pivotFmt>
        <c:idx val="237"/>
        <c:marker>
          <c:symbol val="none"/>
        </c:marker>
      </c:pivotFmt>
      <c:pivotFmt>
        <c:idx val="238"/>
        <c:marker>
          <c:symbol val="none"/>
        </c:marker>
      </c:pivotFmt>
      <c:pivotFmt>
        <c:idx val="239"/>
        <c:marker>
          <c:symbol val="none"/>
        </c:marker>
      </c:pivotFmt>
      <c:pivotFmt>
        <c:idx val="240"/>
        <c:marker>
          <c:symbol val="none"/>
        </c:marker>
      </c:pivotFmt>
      <c:pivotFmt>
        <c:idx val="241"/>
        <c:marker>
          <c:symbol val="none"/>
        </c:marker>
      </c:pivotFmt>
      <c:pivotFmt>
        <c:idx val="242"/>
        <c:marker>
          <c:symbol val="none"/>
        </c:marker>
      </c:pivotFmt>
      <c:pivotFmt>
        <c:idx val="243"/>
        <c:marker>
          <c:symbol val="none"/>
        </c:marker>
      </c:pivotFmt>
      <c:pivotFmt>
        <c:idx val="244"/>
        <c:marker>
          <c:symbol val="none"/>
        </c:marker>
      </c:pivotFmt>
      <c:pivotFmt>
        <c:idx val="245"/>
        <c:marker>
          <c:symbol val="none"/>
        </c:marker>
      </c:pivotFmt>
      <c:pivotFmt>
        <c:idx val="246"/>
        <c:marker>
          <c:symbol val="none"/>
        </c:marker>
      </c:pivotFmt>
      <c:pivotFmt>
        <c:idx val="247"/>
        <c:marker>
          <c:symbol val="none"/>
        </c:marker>
      </c:pivotFmt>
      <c:pivotFmt>
        <c:idx val="248"/>
        <c:marker>
          <c:symbol val="none"/>
        </c:marker>
      </c:pivotFmt>
      <c:pivotFmt>
        <c:idx val="249"/>
        <c:marker>
          <c:symbol val="none"/>
        </c:marker>
      </c:pivotFmt>
      <c:pivotFmt>
        <c:idx val="250"/>
        <c:marker>
          <c:symbol val="none"/>
        </c:marker>
      </c:pivotFmt>
      <c:pivotFmt>
        <c:idx val="251"/>
        <c:marker>
          <c:symbol val="none"/>
        </c:marker>
      </c:pivotFmt>
      <c:pivotFmt>
        <c:idx val="252"/>
        <c:marker>
          <c:symbol val="none"/>
        </c:marker>
      </c:pivotFmt>
      <c:pivotFmt>
        <c:idx val="253"/>
        <c:marker>
          <c:symbol val="none"/>
        </c:marker>
      </c:pivotFmt>
      <c:pivotFmt>
        <c:idx val="254"/>
        <c:marker>
          <c:symbol val="none"/>
        </c:marker>
      </c:pivotFmt>
      <c:pivotFmt>
        <c:idx val="255"/>
        <c:marker>
          <c:symbol val="none"/>
        </c:marker>
      </c:pivotFmt>
      <c:pivotFmt>
        <c:idx val="256"/>
        <c:marker>
          <c:symbol val="none"/>
        </c:marker>
      </c:pivotFmt>
      <c:pivotFmt>
        <c:idx val="257"/>
        <c:marker>
          <c:symbol val="none"/>
        </c:marker>
      </c:pivotFmt>
      <c:pivotFmt>
        <c:idx val="258"/>
        <c:marker>
          <c:symbol val="none"/>
        </c:marker>
      </c:pivotFmt>
      <c:pivotFmt>
        <c:idx val="259"/>
        <c:marker>
          <c:symbol val="none"/>
        </c:marker>
      </c:pivotFmt>
      <c:pivotFmt>
        <c:idx val="260"/>
        <c:marker>
          <c:symbol val="none"/>
        </c:marker>
      </c:pivotFmt>
      <c:pivotFmt>
        <c:idx val="261"/>
        <c:marker>
          <c:symbol val="none"/>
        </c:marker>
      </c:pivotFmt>
      <c:pivotFmt>
        <c:idx val="262"/>
        <c:marker>
          <c:symbol val="none"/>
        </c:marker>
      </c:pivotFmt>
      <c:pivotFmt>
        <c:idx val="263"/>
        <c:marker>
          <c:symbol val="none"/>
        </c:marker>
      </c:pivotFmt>
      <c:pivotFmt>
        <c:idx val="264"/>
        <c:marker>
          <c:symbol val="none"/>
        </c:marker>
      </c:pivotFmt>
      <c:pivotFmt>
        <c:idx val="265"/>
        <c:marker>
          <c:symbol val="none"/>
        </c:marker>
      </c:pivotFmt>
      <c:pivotFmt>
        <c:idx val="266"/>
        <c:marker>
          <c:symbol val="none"/>
        </c:marker>
      </c:pivotFmt>
      <c:pivotFmt>
        <c:idx val="267"/>
        <c:marker>
          <c:symbol val="none"/>
        </c:marker>
      </c:pivotFmt>
      <c:pivotFmt>
        <c:idx val="268"/>
        <c:marker>
          <c:symbol val="none"/>
        </c:marker>
      </c:pivotFmt>
      <c:pivotFmt>
        <c:idx val="269"/>
        <c:marker>
          <c:symbol val="none"/>
        </c:marker>
      </c:pivotFmt>
      <c:pivotFmt>
        <c:idx val="270"/>
        <c:marker>
          <c:symbol val="none"/>
        </c:marker>
      </c:pivotFmt>
      <c:pivotFmt>
        <c:idx val="271"/>
        <c:marker>
          <c:symbol val="none"/>
        </c:marker>
      </c:pivotFmt>
      <c:pivotFmt>
        <c:idx val="272"/>
        <c:marker>
          <c:symbol val="none"/>
        </c:marker>
      </c:pivotFmt>
      <c:pivotFmt>
        <c:idx val="273"/>
        <c:marker>
          <c:symbol val="none"/>
        </c:marker>
      </c:pivotFmt>
      <c:pivotFmt>
        <c:idx val="274"/>
        <c:marker>
          <c:symbol val="none"/>
        </c:marker>
      </c:pivotFmt>
      <c:pivotFmt>
        <c:idx val="275"/>
        <c:marker>
          <c:symbol val="none"/>
        </c:marker>
      </c:pivotFmt>
      <c:pivotFmt>
        <c:idx val="276"/>
        <c:marker>
          <c:symbol val="none"/>
        </c:marker>
      </c:pivotFmt>
      <c:pivotFmt>
        <c:idx val="277"/>
        <c:marker>
          <c:symbol val="none"/>
        </c:marker>
      </c:pivotFmt>
      <c:pivotFmt>
        <c:idx val="278"/>
        <c:marker>
          <c:symbol val="none"/>
        </c:marker>
      </c:pivotFmt>
      <c:pivotFmt>
        <c:idx val="279"/>
        <c:marker>
          <c:symbol val="none"/>
        </c:marker>
      </c:pivotFmt>
      <c:pivotFmt>
        <c:idx val="280"/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Sheet1!$S$5:$S$6</c:f>
              <c:strCache>
                <c:ptCount val="1"/>
                <c:pt idx="0">
                  <c:v>0FBWCC1.1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Sheet1!$S$7:$S$25</c:f>
              <c:numCache>
                <c:formatCode>General</c:formatCode>
                <c:ptCount val="18"/>
                <c:pt idx="15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A3-4DB6-B409-D142E2B2E9F1}"/>
            </c:ext>
          </c:extLst>
        </c:ser>
        <c:ser>
          <c:idx val="1"/>
          <c:order val="1"/>
          <c:tx>
            <c:strRef>
              <c:f>Sheet1!$T$5:$T$6</c:f>
              <c:strCache>
                <c:ptCount val="1"/>
                <c:pt idx="0">
                  <c:v>0FBWSHC0.95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Sheet1!$T$7:$T$25</c:f>
              <c:numCache>
                <c:formatCode>General</c:formatCode>
                <c:ptCount val="18"/>
                <c:pt idx="14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CA3-4DB6-B409-D142E2B2E9F1}"/>
            </c:ext>
          </c:extLst>
        </c:ser>
        <c:ser>
          <c:idx val="2"/>
          <c:order val="2"/>
          <c:tx>
            <c:strRef>
              <c:f>Sheet1!$U$5:$U$6</c:f>
              <c:strCache>
                <c:ptCount val="1"/>
                <c:pt idx="0">
                  <c:v>0FBWSHC1.1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Sheet1!$U$7:$U$25</c:f>
              <c:numCache>
                <c:formatCode>General</c:formatCode>
                <c:ptCount val="18"/>
                <c:pt idx="14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CA3-4DB6-B409-D142E2B2E9F1}"/>
            </c:ext>
          </c:extLst>
        </c:ser>
        <c:ser>
          <c:idx val="3"/>
          <c:order val="3"/>
          <c:tx>
            <c:strRef>
              <c:f>Sheet1!$V$5:$V$6</c:f>
              <c:strCache>
                <c:ptCount val="1"/>
                <c:pt idx="0">
                  <c:v>0FBWSHC1.2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Sheet1!$V$7:$V$25</c:f>
              <c:numCache>
                <c:formatCode>General</c:formatCode>
                <c:ptCount val="18"/>
                <c:pt idx="15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CA3-4DB6-B409-D142E2B2E9F1}"/>
            </c:ext>
          </c:extLst>
        </c:ser>
        <c:ser>
          <c:idx val="4"/>
          <c:order val="4"/>
          <c:tx>
            <c:strRef>
              <c:f>Sheet1!$W$5:$W$6</c:f>
              <c:strCache>
                <c:ptCount val="1"/>
                <c:pt idx="0">
                  <c:v>1AIW0.9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Sheet1!$W$7:$W$25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CA3-4DB6-B409-D142E2B2E9F1}"/>
            </c:ext>
          </c:extLst>
        </c:ser>
        <c:ser>
          <c:idx val="5"/>
          <c:order val="5"/>
          <c:tx>
            <c:strRef>
              <c:f>Sheet1!$X$5:$X$6</c:f>
              <c:strCache>
                <c:ptCount val="1"/>
                <c:pt idx="0">
                  <c:v>1AIW1.1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Sheet1!$X$7:$X$25</c:f>
              <c:numCache>
                <c:formatCode>General</c:formatCode>
                <c:ptCount val="18"/>
                <c:pt idx="1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2CA3-4DB6-B409-D142E2B2E9F1}"/>
            </c:ext>
          </c:extLst>
        </c:ser>
        <c:ser>
          <c:idx val="6"/>
          <c:order val="6"/>
          <c:tx>
            <c:strRef>
              <c:f>Sheet1!$Y$5:$Y$6</c:f>
              <c:strCache>
                <c:ptCount val="1"/>
                <c:pt idx="0">
                  <c:v>1AIWP1.05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Sheet1!$Y$7:$Y$25</c:f>
              <c:numCache>
                <c:formatCode>General</c:formatCode>
                <c:ptCount val="18"/>
                <c:pt idx="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CA3-4DB6-B409-D142E2B2E9F1}"/>
            </c:ext>
          </c:extLst>
        </c:ser>
        <c:ser>
          <c:idx val="7"/>
          <c:order val="7"/>
          <c:tx>
            <c:strRef>
              <c:f>Sheet1!$Z$5:$Z$6</c:f>
              <c:strCache>
                <c:ptCount val="1"/>
                <c:pt idx="0">
                  <c:v>1AIWP1.35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Sheet1!$Z$7:$Z$25</c:f>
              <c:numCache>
                <c:formatCode>General</c:formatCode>
                <c:ptCount val="18"/>
                <c:pt idx="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2CA3-4DB6-B409-D142E2B2E9F1}"/>
            </c:ext>
          </c:extLst>
        </c:ser>
        <c:ser>
          <c:idx val="8"/>
          <c:order val="8"/>
          <c:tx>
            <c:strRef>
              <c:f>Sheet1!$AA$5:$AA$6</c:f>
              <c:strCache>
                <c:ptCount val="1"/>
                <c:pt idx="0">
                  <c:v>1-ATZ-3001.25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Sheet1!$AA$7:$AA$25</c:f>
              <c:numCache>
                <c:formatCode>General</c:formatCode>
                <c:ptCount val="18"/>
                <c:pt idx="14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CA3-4DB6-B409-D142E2B2E9F1}"/>
            </c:ext>
          </c:extLst>
        </c:ser>
        <c:ser>
          <c:idx val="9"/>
          <c:order val="9"/>
          <c:tx>
            <c:strRef>
              <c:f>Sheet1!$AB$5:$AB$6</c:f>
              <c:strCache>
                <c:ptCount val="1"/>
                <c:pt idx="0">
                  <c:v>1EIWAD-S1.6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Sheet1!$AB$7:$AB$25</c:f>
              <c:numCache>
                <c:formatCode>General</c:formatCode>
                <c:ptCount val="18"/>
                <c:pt idx="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CA3-4DB6-B409-D142E2B2E9F1}"/>
            </c:ext>
          </c:extLst>
        </c:ser>
        <c:ser>
          <c:idx val="10"/>
          <c:order val="10"/>
          <c:tx>
            <c:strRef>
              <c:f>Sheet1!$AC$5:$AC$6</c:f>
              <c:strCache>
                <c:ptCount val="1"/>
                <c:pt idx="0">
                  <c:v>1FBWCC1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Sheet1!$AC$7:$AC$25</c:f>
              <c:numCache>
                <c:formatCode>General</c:formatCode>
                <c:ptCount val="18"/>
                <c:pt idx="15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2CA3-4DB6-B409-D142E2B2E9F1}"/>
            </c:ext>
          </c:extLst>
        </c:ser>
        <c:ser>
          <c:idx val="11"/>
          <c:order val="11"/>
          <c:tx>
            <c:strRef>
              <c:f>Sheet1!$AD$5:$AD$6</c:f>
              <c:strCache>
                <c:ptCount val="1"/>
                <c:pt idx="0">
                  <c:v>1HGZ-MA1.18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Sheet1!$AD$7:$AD$25</c:f>
              <c:numCache>
                <c:formatCode>General</c:formatCode>
                <c:ptCount val="18"/>
                <c:pt idx="8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2CA3-4DB6-B409-D142E2B2E9F1}"/>
            </c:ext>
          </c:extLst>
        </c:ser>
        <c:ser>
          <c:idx val="12"/>
          <c:order val="12"/>
          <c:tx>
            <c:strRef>
              <c:f>Sheet1!$AE$5:$AE$6</c:f>
              <c:strCache>
                <c:ptCount val="1"/>
                <c:pt idx="0">
                  <c:v>1PEW1.7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Sheet1!$AE$7:$AE$25</c:f>
              <c:numCache>
                <c:formatCode>General</c:formatCode>
                <c:ptCount val="18"/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2CA3-4DB6-B409-D142E2B2E9F1}"/>
            </c:ext>
          </c:extLst>
        </c:ser>
        <c:ser>
          <c:idx val="13"/>
          <c:order val="13"/>
          <c:tx>
            <c:strRef>
              <c:f>Sheet1!$AF$5:$AF$6</c:f>
              <c:strCache>
                <c:ptCount val="1"/>
                <c:pt idx="0">
                  <c:v>1PEW2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Sheet1!$AF$7:$AF$25</c:f>
              <c:numCache>
                <c:formatCode>General</c:formatCode>
                <c:ptCount val="18"/>
                <c:pt idx="1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2CA3-4DB6-B409-D142E2B2E9F1}"/>
            </c:ext>
          </c:extLst>
        </c:ser>
        <c:ser>
          <c:idx val="14"/>
          <c:order val="14"/>
          <c:tx>
            <c:strRef>
              <c:f>Sheet1!$AG$5:$AG$6</c:f>
              <c:strCache>
                <c:ptCount val="1"/>
                <c:pt idx="0">
                  <c:v>1PEW2.3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Sheet1!$AG$7:$AG$25</c:f>
              <c:numCache>
                <c:formatCode>General</c:formatCode>
                <c:ptCount val="18"/>
                <c:pt idx="1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2CA3-4DB6-B409-D142E2B2E9F1}"/>
            </c:ext>
          </c:extLst>
        </c:ser>
        <c:ser>
          <c:idx val="15"/>
          <c:order val="15"/>
          <c:tx>
            <c:strRef>
              <c:f>Sheet1!$AH$5:$AH$6</c:f>
              <c:strCache>
                <c:ptCount val="1"/>
                <c:pt idx="0">
                  <c:v>2AIW0.6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Sheet1!$AH$7:$AH$25</c:f>
              <c:numCache>
                <c:formatCode>General</c:formatCode>
                <c:ptCount val="18"/>
                <c:pt idx="12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2CA3-4DB6-B409-D142E2B2E9F1}"/>
            </c:ext>
          </c:extLst>
        </c:ser>
        <c:ser>
          <c:idx val="16"/>
          <c:order val="16"/>
          <c:tx>
            <c:strRef>
              <c:f>Sheet1!$AI$5:$AI$6</c:f>
              <c:strCache>
                <c:ptCount val="1"/>
                <c:pt idx="0">
                  <c:v>2EIWAD1.5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Sheet1!$AI$7:$AI$25</c:f>
              <c:numCache>
                <c:formatCode>General</c:formatCode>
                <c:ptCount val="18"/>
                <c:pt idx="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2CA3-4DB6-B409-D142E2B2E9F1}"/>
            </c:ext>
          </c:extLst>
        </c:ser>
        <c:ser>
          <c:idx val="17"/>
          <c:order val="17"/>
          <c:tx>
            <c:strRef>
              <c:f>Sheet1!$AJ$5:$AJ$6</c:f>
              <c:strCache>
                <c:ptCount val="1"/>
                <c:pt idx="0">
                  <c:v>2EIWAD-EPS1.25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Sheet1!$AJ$7:$AJ$25</c:f>
              <c:numCache>
                <c:formatCode>General</c:formatCode>
                <c:ptCount val="18"/>
                <c:pt idx="14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2CA3-4DB6-B409-D142E2B2E9F1}"/>
            </c:ext>
          </c:extLst>
        </c:ser>
        <c:ser>
          <c:idx val="18"/>
          <c:order val="18"/>
          <c:tx>
            <c:strRef>
              <c:f>Sheet1!$AK$5:$AK$6</c:f>
              <c:strCache>
                <c:ptCount val="1"/>
                <c:pt idx="0">
                  <c:v>2EIWAD-O1.65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Sheet1!$AK$7:$AK$25</c:f>
              <c:numCache>
                <c:formatCode>General</c:formatCode>
                <c:ptCount val="18"/>
                <c:pt idx="2">
                  <c:v>9</c:v>
                </c:pt>
                <c:pt idx="9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2CA3-4DB6-B409-D142E2B2E9F1}"/>
            </c:ext>
          </c:extLst>
        </c:ser>
        <c:ser>
          <c:idx val="19"/>
          <c:order val="19"/>
          <c:tx>
            <c:strRef>
              <c:f>Sheet1!$AL$5:$AL$6</c:f>
              <c:strCache>
                <c:ptCount val="1"/>
                <c:pt idx="0">
                  <c:v>2EIWAD-O1.81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Sheet1!$AL$7:$AL$25</c:f>
              <c:numCache>
                <c:formatCode>General</c:formatCode>
                <c:ptCount val="18"/>
                <c:pt idx="2">
                  <c:v>2</c:v>
                </c:pt>
                <c:pt idx="9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2CA3-4DB6-B409-D142E2B2E9F1}"/>
            </c:ext>
          </c:extLst>
        </c:ser>
        <c:ser>
          <c:idx val="20"/>
          <c:order val="20"/>
          <c:tx>
            <c:strRef>
              <c:f>Sheet1!$AM$5:$AM$6</c:f>
              <c:strCache>
                <c:ptCount val="1"/>
                <c:pt idx="0">
                  <c:v>2EIWAD-OP1.25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Sheet1!$AM$7:$AM$25</c:f>
              <c:numCache>
                <c:formatCode>General</c:formatCode>
                <c:ptCount val="18"/>
                <c:pt idx="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2CA3-4DB6-B409-D142E2B2E9F1}"/>
            </c:ext>
          </c:extLst>
        </c:ser>
        <c:ser>
          <c:idx val="21"/>
          <c:order val="21"/>
          <c:tx>
            <c:strRef>
              <c:f>Sheet1!$AN$5:$AN$6</c:f>
              <c:strCache>
                <c:ptCount val="1"/>
                <c:pt idx="0">
                  <c:v>2EIWAD-OP1.61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Sheet1!$AN$7:$AN$25</c:f>
              <c:numCache>
                <c:formatCode>General</c:formatCode>
                <c:ptCount val="18"/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5-2CA3-4DB6-B409-D142E2B2E9F1}"/>
            </c:ext>
          </c:extLst>
        </c:ser>
        <c:ser>
          <c:idx val="22"/>
          <c:order val="22"/>
          <c:tx>
            <c:strRef>
              <c:f>Sheet1!$AO$5:$AO$6</c:f>
              <c:strCache>
                <c:ptCount val="1"/>
                <c:pt idx="0">
                  <c:v>2EIWAD-OP1.81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Sheet1!$AO$7:$AO$25</c:f>
              <c:numCache>
                <c:formatCode>General</c:formatCode>
                <c:ptCount val="18"/>
                <c:pt idx="9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6-2CA3-4DB6-B409-D142E2B2E9F1}"/>
            </c:ext>
          </c:extLst>
        </c:ser>
        <c:ser>
          <c:idx val="23"/>
          <c:order val="23"/>
          <c:tx>
            <c:strRef>
              <c:f>Sheet1!$AP$5:$AP$6</c:f>
              <c:strCache>
                <c:ptCount val="1"/>
                <c:pt idx="0">
                  <c:v>2EIWAD-P1.15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Sheet1!$AP$7:$AP$25</c:f>
              <c:numCache>
                <c:formatCode>General</c:formatCode>
                <c:ptCount val="18"/>
                <c:pt idx="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2CA3-4DB6-B409-D142E2B2E9F1}"/>
            </c:ext>
          </c:extLst>
        </c:ser>
        <c:ser>
          <c:idx val="24"/>
          <c:order val="24"/>
          <c:tx>
            <c:strRef>
              <c:f>Sheet1!$AQ$5:$AQ$6</c:f>
              <c:strCache>
                <c:ptCount val="1"/>
                <c:pt idx="0">
                  <c:v>2EIWAD-P1.25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Sheet1!$AQ$7:$AQ$25</c:f>
              <c:numCache>
                <c:formatCode>General</c:formatCode>
                <c:ptCount val="18"/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8-2CA3-4DB6-B409-D142E2B2E9F1}"/>
            </c:ext>
          </c:extLst>
        </c:ser>
        <c:ser>
          <c:idx val="25"/>
          <c:order val="25"/>
          <c:tx>
            <c:strRef>
              <c:f>Sheet1!$AR$5:$AR$6</c:f>
              <c:strCache>
                <c:ptCount val="1"/>
                <c:pt idx="0">
                  <c:v>2PEW0.6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Sheet1!$AR$7:$AR$25</c:f>
              <c:numCache>
                <c:formatCode>General</c:formatCode>
                <c:ptCount val="18"/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9-2CA3-4DB6-B409-D142E2B2E9F1}"/>
            </c:ext>
          </c:extLst>
        </c:ser>
        <c:ser>
          <c:idx val="26"/>
          <c:order val="26"/>
          <c:tx>
            <c:strRef>
              <c:f>Sheet1!$AS$5:$AS$6</c:f>
              <c:strCache>
                <c:ptCount val="1"/>
                <c:pt idx="0">
                  <c:v>2PEW0.67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Sheet1!$AS$7:$AS$25</c:f>
              <c:numCache>
                <c:formatCode>General</c:formatCode>
                <c:ptCount val="18"/>
                <c:pt idx="11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A-2CA3-4DB6-B409-D142E2B2E9F1}"/>
            </c:ext>
          </c:extLst>
        </c:ser>
        <c:ser>
          <c:idx val="27"/>
          <c:order val="27"/>
          <c:tx>
            <c:strRef>
              <c:f>Sheet1!$AT$5:$AT$6</c:f>
              <c:strCache>
                <c:ptCount val="1"/>
                <c:pt idx="0">
                  <c:v>2PEW0.73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Sheet1!$AT$7:$AT$25</c:f>
              <c:numCache>
                <c:formatCode>General</c:formatCode>
                <c:ptCount val="18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B-2CA3-4DB6-B409-D142E2B2E9F1}"/>
            </c:ext>
          </c:extLst>
        </c:ser>
        <c:ser>
          <c:idx val="28"/>
          <c:order val="28"/>
          <c:tx>
            <c:strRef>
              <c:f>Sheet1!$AU$5:$AU$6</c:f>
              <c:strCache>
                <c:ptCount val="1"/>
                <c:pt idx="0">
                  <c:v>2PEW0.75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Sheet1!$AU$7:$AU$25</c:f>
              <c:numCache>
                <c:formatCode>General</c:formatCode>
                <c:ptCount val="18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C-2CA3-4DB6-B409-D142E2B2E9F1}"/>
            </c:ext>
          </c:extLst>
        </c:ser>
        <c:ser>
          <c:idx val="29"/>
          <c:order val="29"/>
          <c:tx>
            <c:strRef>
              <c:f>Sheet1!$AV$5:$AV$6</c:f>
              <c:strCache>
                <c:ptCount val="1"/>
                <c:pt idx="0">
                  <c:v>2PEW0.77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Sheet1!$AV$7:$AV$25</c:f>
              <c:numCache>
                <c:formatCode>General</c:formatCode>
                <c:ptCount val="18"/>
                <c:pt idx="0">
                  <c:v>6</c:v>
                </c:pt>
                <c:pt idx="1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D-2CA3-4DB6-B409-D142E2B2E9F1}"/>
            </c:ext>
          </c:extLst>
        </c:ser>
        <c:ser>
          <c:idx val="30"/>
          <c:order val="30"/>
          <c:tx>
            <c:strRef>
              <c:f>Sheet1!$AW$5:$AW$6</c:f>
              <c:strCache>
                <c:ptCount val="1"/>
                <c:pt idx="0">
                  <c:v>2PEW0.8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Sheet1!$AW$7:$AW$25</c:f>
              <c:numCache>
                <c:formatCode>General</c:formatCode>
                <c:ptCount val="18"/>
                <c:pt idx="0">
                  <c:v>2</c:v>
                </c:pt>
                <c:pt idx="1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E-2CA3-4DB6-B409-D142E2B2E9F1}"/>
            </c:ext>
          </c:extLst>
        </c:ser>
        <c:ser>
          <c:idx val="31"/>
          <c:order val="31"/>
          <c:tx>
            <c:strRef>
              <c:f>Sheet1!$AX$5:$AX$6</c:f>
              <c:strCache>
                <c:ptCount val="1"/>
                <c:pt idx="0">
                  <c:v>2PEW0.82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Sheet1!$AX$7:$AX$25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F-2CA3-4DB6-B409-D142E2B2E9F1}"/>
            </c:ext>
          </c:extLst>
        </c:ser>
        <c:ser>
          <c:idx val="32"/>
          <c:order val="32"/>
          <c:tx>
            <c:strRef>
              <c:f>Sheet1!$AY$5:$AY$6</c:f>
              <c:strCache>
                <c:ptCount val="1"/>
                <c:pt idx="0">
                  <c:v>2PEW0.85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Sheet1!$AY$7:$AY$25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0-2CA3-4DB6-B409-D142E2B2E9F1}"/>
            </c:ext>
          </c:extLst>
        </c:ser>
        <c:ser>
          <c:idx val="33"/>
          <c:order val="33"/>
          <c:tx>
            <c:strRef>
              <c:f>Sheet1!$AZ$5:$AZ$6</c:f>
              <c:strCache>
                <c:ptCount val="1"/>
                <c:pt idx="0">
                  <c:v>2PEW0.9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Sheet1!$AZ$7:$AZ$25</c:f>
              <c:numCache>
                <c:formatCode>General</c:formatCode>
                <c:ptCount val="18"/>
                <c:pt idx="1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1-2CA3-4DB6-B409-D142E2B2E9F1}"/>
            </c:ext>
          </c:extLst>
        </c:ser>
        <c:ser>
          <c:idx val="34"/>
          <c:order val="34"/>
          <c:tx>
            <c:strRef>
              <c:f>Sheet1!$BA$5:$BA$6</c:f>
              <c:strCache>
                <c:ptCount val="1"/>
                <c:pt idx="0">
                  <c:v>D1-IDW-41.15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Sheet1!$BA$7:$BA$25</c:f>
              <c:numCache>
                <c:formatCode>General</c:formatCode>
                <c:ptCount val="18"/>
                <c:pt idx="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2-2CA3-4DB6-B409-D142E2B2E9F1}"/>
            </c:ext>
          </c:extLst>
        </c:ser>
        <c:ser>
          <c:idx val="35"/>
          <c:order val="35"/>
          <c:tx>
            <c:strRef>
              <c:f>Sheet1!$BB$5:$BB$6</c:f>
              <c:strCache>
                <c:ptCount val="1"/>
                <c:pt idx="0">
                  <c:v>D1-PEW-B-2T0.6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Sheet1!$BB$7:$BB$25</c:f>
              <c:numCache>
                <c:formatCode>General</c:formatCode>
                <c:ptCount val="18"/>
                <c:pt idx="16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3-2CA3-4DB6-B409-D142E2B2E9F1}"/>
            </c:ext>
          </c:extLst>
        </c:ser>
        <c:ser>
          <c:idx val="36"/>
          <c:order val="36"/>
          <c:tx>
            <c:strRef>
              <c:f>Sheet1!$BC$5:$BC$6</c:f>
              <c:strCache>
                <c:ptCount val="1"/>
                <c:pt idx="0">
                  <c:v>D1-PEW-B-2Y0.8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Sheet1!$BC$7:$BC$25</c:f>
              <c:numCache>
                <c:formatCode>General</c:formatCode>
                <c:ptCount val="18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4-2CA3-4DB6-B409-D142E2B2E9F1}"/>
            </c:ext>
          </c:extLst>
        </c:ser>
        <c:ser>
          <c:idx val="37"/>
          <c:order val="37"/>
          <c:tx>
            <c:strRef>
              <c:f>Sheet1!$BD$5:$BD$6</c:f>
              <c:strCache>
                <c:ptCount val="1"/>
                <c:pt idx="0">
                  <c:v>D2DSW20.5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Sheet1!$BD$7:$BD$25</c:f>
              <c:numCache>
                <c:formatCode>General</c:formatCode>
                <c:ptCount val="18"/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5-2CA3-4DB6-B409-D142E2B2E9F1}"/>
            </c:ext>
          </c:extLst>
        </c:ser>
        <c:ser>
          <c:idx val="38"/>
          <c:order val="38"/>
          <c:tx>
            <c:strRef>
              <c:f>Sheet1!$BE$5:$BE$6</c:f>
              <c:strCache>
                <c:ptCount val="1"/>
                <c:pt idx="0">
                  <c:v>D2IDW4A-10.554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Sheet1!$BE$7:$BE$25</c:f>
              <c:numCache>
                <c:formatCode>General</c:formatCode>
                <c:ptCount val="18"/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6-2CA3-4DB6-B409-D142E2B2E9F1}"/>
            </c:ext>
          </c:extLst>
        </c:ser>
        <c:ser>
          <c:idx val="39"/>
          <c:order val="39"/>
          <c:tx>
            <c:strRef>
              <c:f>Sheet1!$BF$5:$BF$6</c:f>
              <c:strCache>
                <c:ptCount val="1"/>
                <c:pt idx="0">
                  <c:v>D2IDW4A-10.58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Sheet1!$BF$7:$BF$25</c:f>
              <c:numCache>
                <c:formatCode>General</c:formatCode>
                <c:ptCount val="18"/>
                <c:pt idx="12">
                  <c:v>3</c:v>
                </c:pt>
                <c:pt idx="17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7-2CA3-4DB6-B409-D142E2B2E9F1}"/>
            </c:ext>
          </c:extLst>
        </c:ser>
        <c:ser>
          <c:idx val="40"/>
          <c:order val="40"/>
          <c:tx>
            <c:strRef>
              <c:f>Sheet1!$BG$5:$BG$6</c:f>
              <c:strCache>
                <c:ptCount val="1"/>
                <c:pt idx="0">
                  <c:v>D2IDW-4-B-20.44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Sheet1!$BG$7:$BG$25</c:f>
              <c:numCache>
                <c:formatCode>General</c:formatCode>
                <c:ptCount val="18"/>
                <c:pt idx="7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8-2CA3-4DB6-B409-D142E2B2E9F1}"/>
            </c:ext>
          </c:extLst>
        </c:ser>
        <c:ser>
          <c:idx val="41"/>
          <c:order val="41"/>
          <c:tx>
            <c:strRef>
              <c:f>Sheet1!$BH$5:$BH$6</c:f>
              <c:strCache>
                <c:ptCount val="1"/>
                <c:pt idx="0">
                  <c:v>D2IDW-4-B-20.65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Sheet1!$BH$7:$BH$25</c:f>
              <c:numCache>
                <c:formatCode>General</c:formatCode>
                <c:ptCount val="18"/>
                <c:pt idx="17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9-2CA3-4DB6-B409-D142E2B2E9F1}"/>
            </c:ext>
          </c:extLst>
        </c:ser>
        <c:ser>
          <c:idx val="42"/>
          <c:order val="42"/>
          <c:tx>
            <c:strRef>
              <c:f>Sheet1!$BI$5:$BI$6</c:f>
              <c:strCache>
                <c:ptCount val="1"/>
                <c:pt idx="0">
                  <c:v>D2IDW-4-B-20.7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Sheet1!$BI$7:$BI$25</c:f>
              <c:numCache>
                <c:formatCode>General</c:formatCode>
                <c:ptCount val="18"/>
                <c:pt idx="17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A-2CA3-4DB6-B409-D142E2B2E9F1}"/>
            </c:ext>
          </c:extLst>
        </c:ser>
        <c:ser>
          <c:idx val="43"/>
          <c:order val="43"/>
          <c:tx>
            <c:strRef>
              <c:f>Sheet1!$BJ$5:$BJ$6</c:f>
              <c:strCache>
                <c:ptCount val="1"/>
                <c:pt idx="0">
                  <c:v>D2-IDW-4E0.83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Sheet1!$BJ$7:$BJ$25</c:f>
              <c:numCache>
                <c:formatCode>General</c:formatCode>
                <c:ptCount val="18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B-2CA3-4DB6-B409-D142E2B2E9F1}"/>
            </c:ext>
          </c:extLst>
        </c:ser>
        <c:ser>
          <c:idx val="44"/>
          <c:order val="44"/>
          <c:tx>
            <c:strRef>
              <c:f>Sheet1!$BK$5:$BK$6</c:f>
              <c:strCache>
                <c:ptCount val="1"/>
                <c:pt idx="0">
                  <c:v>D2-PEW-B-10.5</c:v>
                </c:pt>
              </c:strCache>
            </c:strRef>
          </c:tx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Sheet1!$BK$7:$BK$25</c:f>
              <c:numCache>
                <c:formatCode>General</c:formatCode>
                <c:ptCount val="18"/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C-2CA3-4DB6-B409-D142E2B2E9F1}"/>
            </c:ext>
          </c:extLst>
        </c:ser>
        <c:ser>
          <c:idx val="45"/>
          <c:order val="45"/>
          <c:tx>
            <c:strRef>
              <c:f>Sheet1!$BL$5:$BL$6</c:f>
              <c:strCache>
                <c:ptCount val="1"/>
                <c:pt idx="0">
                  <c:v>(blank)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strRef>
              <c:f>Sheet1!$R$7:$R$25</c:f>
              <c:strCache>
                <c:ptCount val="18"/>
                <c:pt idx="0">
                  <c:v>11A</c:v>
                </c:pt>
                <c:pt idx="1">
                  <c:v>11B</c:v>
                </c:pt>
                <c:pt idx="2">
                  <c:v>12A</c:v>
                </c:pt>
                <c:pt idx="3">
                  <c:v>12B</c:v>
                </c:pt>
                <c:pt idx="4">
                  <c:v>V1A</c:v>
                </c:pt>
                <c:pt idx="5">
                  <c:v>V1B</c:v>
                </c:pt>
                <c:pt idx="6">
                  <c:v>V4A</c:v>
                </c:pt>
                <c:pt idx="7">
                  <c:v>V4B</c:v>
                </c:pt>
                <c:pt idx="8">
                  <c:v>V6A</c:v>
                </c:pt>
                <c:pt idx="9">
                  <c:v>V6B</c:v>
                </c:pt>
                <c:pt idx="10">
                  <c:v>V8A</c:v>
                </c:pt>
                <c:pt idx="11">
                  <c:v>V8B</c:v>
                </c:pt>
                <c:pt idx="12">
                  <c:v>V8C</c:v>
                </c:pt>
                <c:pt idx="13">
                  <c:v>V8D</c:v>
                </c:pt>
                <c:pt idx="14">
                  <c:v>V9A</c:v>
                </c:pt>
                <c:pt idx="15">
                  <c:v>V9B</c:v>
                </c:pt>
                <c:pt idx="16">
                  <c:v>VOA</c:v>
                </c:pt>
                <c:pt idx="17">
                  <c:v>VOB</c:v>
                </c:pt>
              </c:strCache>
            </c:strRef>
          </c:cat>
          <c:val>
            <c:numRef>
              <c:f>Sheet1!$BL$7:$BL$25</c:f>
              <c:numCache>
                <c:formatCode>General</c:formatCode>
                <c:ptCount val="18"/>
                <c:pt idx="0">
                  <c:v>20</c:v>
                </c:pt>
                <c:pt idx="1">
                  <c:v>17</c:v>
                </c:pt>
                <c:pt idx="2">
                  <c:v>19</c:v>
                </c:pt>
                <c:pt idx="3">
                  <c:v>16</c:v>
                </c:pt>
                <c:pt idx="4">
                  <c:v>3</c:v>
                </c:pt>
                <c:pt idx="5">
                  <c:v>3</c:v>
                </c:pt>
                <c:pt idx="6">
                  <c:v>32</c:v>
                </c:pt>
                <c:pt idx="7">
                  <c:v>20</c:v>
                </c:pt>
                <c:pt idx="8">
                  <c:v>4</c:v>
                </c:pt>
                <c:pt idx="9">
                  <c:v>22</c:v>
                </c:pt>
                <c:pt idx="10">
                  <c:v>15</c:v>
                </c:pt>
                <c:pt idx="11">
                  <c:v>9</c:v>
                </c:pt>
                <c:pt idx="12">
                  <c:v>4</c:v>
                </c:pt>
                <c:pt idx="13">
                  <c:v>10</c:v>
                </c:pt>
                <c:pt idx="14">
                  <c:v>18</c:v>
                </c:pt>
                <c:pt idx="15">
                  <c:v>17</c:v>
                </c:pt>
                <c:pt idx="16">
                  <c:v>20</c:v>
                </c:pt>
                <c:pt idx="17">
                  <c:v>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D-2CA3-4DB6-B409-D142E2B2E9F1}"/>
            </c:ext>
          </c:extLst>
        </c:ser>
        <c:overlap val="100"/>
        <c:axId val="151901312"/>
        <c:axId val="151902848"/>
      </c:barChart>
      <c:catAx>
        <c:axId val="151901312"/>
        <c:scaling>
          <c:orientation val="minMax"/>
        </c:scaling>
        <c:axPos val="b"/>
        <c:numFmt formatCode="General" sourceLinked="0"/>
        <c:tickLblPos val="nextTo"/>
        <c:crossAx val="151902848"/>
        <c:crosses val="autoZero"/>
        <c:auto val="1"/>
        <c:lblAlgn val="ctr"/>
        <c:lblOffset val="100"/>
      </c:catAx>
      <c:valAx>
        <c:axId val="151902848"/>
        <c:scaling>
          <c:orientation val="minMax"/>
        </c:scaling>
        <c:axPos val="l"/>
        <c:majorGridlines/>
        <c:numFmt formatCode="General" sourceLinked="1"/>
        <c:tickLblPos val="nextTo"/>
        <c:crossAx val="15190131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228599</xdr:colOff>
      <xdr:row>3</xdr:row>
      <xdr:rowOff>66675</xdr:rowOff>
    </xdr:from>
    <xdr:to>
      <xdr:col>10</xdr:col>
      <xdr:colOff>571500</xdr:colOff>
      <xdr:row>21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161925</xdr:colOff>
      <xdr:row>8</xdr:row>
      <xdr:rowOff>104775</xdr:rowOff>
    </xdr:from>
    <xdr:to>
      <xdr:col>23</xdr:col>
      <xdr:colOff>428625</xdr:colOff>
      <xdr:row>25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16048343" y="19765840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 txBox="1"/>
      </xdr:nvSpPr>
      <xdr:spPr>
        <a:xfrm>
          <a:off x="16048343" y="1579608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16048343" y="14031790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16048343" y="19765840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 txBox="1"/>
      </xdr:nvSpPr>
      <xdr:spPr>
        <a:xfrm>
          <a:off x="16048343" y="19020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 txBox="1"/>
      </xdr:nvSpPr>
      <xdr:spPr>
        <a:xfrm>
          <a:off x="15261431" y="16640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xmlns="" id="{00000000-0008-0000-0100-000024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xmlns="" id="{00000000-0008-0000-0100-000025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xmlns="" id="{00000000-0008-0000-0100-000027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xmlns="" id="{00000000-0008-0000-0100-000028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xmlns="" id="{00000000-0008-0000-0100-000029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xmlns="" id="{00000000-0008-0000-0100-00002A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xmlns="" id="{00000000-0008-0000-0100-00002D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xmlns="" id="{00000000-0008-0000-0100-00002E000000}"/>
            </a:ext>
          </a:extLst>
        </xdr:cNvPr>
        <xdr:cNvSpPr txBox="1"/>
      </xdr:nvSpPr>
      <xdr:spPr>
        <a:xfrm>
          <a:off x="15261431" y="3204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xmlns="" id="{00000000-0008-0000-0100-00002F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xmlns="" id="{00000000-0008-0000-0100-000031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xmlns="" id="{00000000-0008-0000-0100-000033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xmlns="" id="{00000000-0008-0000-0100-000034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xmlns="" id="{00000000-0008-0000-0100-000036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xmlns="" id="{00000000-0008-0000-0100-000038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xmlns="" id="{00000000-0008-0000-0100-000039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xmlns="" id="{00000000-0008-0000-0100-00003B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xmlns="" id="{00000000-0008-0000-0100-00003C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xmlns="" id="{00000000-0008-0000-0100-00003D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xmlns="" id="{00000000-0008-0000-0100-00003E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xmlns="" id="{00000000-0008-0000-0100-000040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xmlns="" id="{00000000-0008-0000-0100-000041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xmlns="" id="{00000000-0008-0000-0100-000042000000}"/>
            </a:ext>
          </a:extLst>
        </xdr:cNvPr>
        <xdr:cNvSpPr txBox="1"/>
      </xdr:nvSpPr>
      <xdr:spPr>
        <a:xfrm>
          <a:off x="15290006" y="7353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xmlns="" id="{00000000-0008-0000-0100-000043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xmlns="" id="{00000000-0008-0000-0100-000044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xmlns="" id="{00000000-0008-0000-0100-000045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xmlns="" id="{00000000-0008-0000-0100-000046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xmlns="" id="{00000000-0008-0000-0100-000047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xmlns="" id="{00000000-0008-0000-0100-000048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xmlns="" id="{00000000-0008-0000-0100-000049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xmlns="" id="{00000000-0008-0000-0100-00004A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xmlns="" id="{00000000-0008-0000-0100-00004B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xmlns="" id="{00000000-0008-0000-0100-00004C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xmlns="" id="{00000000-0008-0000-0100-00004D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xmlns="" id="{00000000-0008-0000-0100-00004E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xmlns="" id="{00000000-0008-0000-0100-00004F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xmlns="" id="{00000000-0008-0000-0100-000050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xmlns="" id="{00000000-0008-0000-0100-000051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xmlns="" id="{00000000-0008-0000-0100-000052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xmlns="" id="{00000000-0008-0000-0100-000053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xmlns="" id="{00000000-0008-0000-0100-000054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xmlns="" id="{00000000-0008-0000-0100-000055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xmlns="" id="{00000000-0008-0000-0100-000056000000}"/>
            </a:ext>
          </a:extLst>
        </xdr:cNvPr>
        <xdr:cNvSpPr txBox="1"/>
      </xdr:nvSpPr>
      <xdr:spPr>
        <a:xfrm>
          <a:off x="15290006" y="73847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xmlns="" id="{00000000-0008-0000-0100-000057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xmlns="" id="{00000000-0008-0000-0100-000058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xmlns="" id="{00000000-0008-0000-0100-000059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xmlns="" id="{00000000-0008-0000-0100-00005A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xmlns="" id="{00000000-0008-0000-0100-00005B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xmlns="" id="{00000000-0008-0000-0100-00005C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xmlns="" id="{00000000-0008-0000-0100-00005D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xmlns="" id="{00000000-0008-0000-0100-00005E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xmlns="" id="{00000000-0008-0000-0100-00005F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xmlns="" id="{00000000-0008-0000-0100-000060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xmlns="" id="{00000000-0008-0000-0100-000061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xmlns="" id="{00000000-0008-0000-0100-000062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xmlns="" id="{00000000-0008-0000-0100-000063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xmlns="" id="{00000000-0008-0000-0100-000064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xmlns="" id="{00000000-0008-0000-0100-000065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xmlns="" id="{00000000-0008-0000-0100-000066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xmlns="" id="{00000000-0008-0000-0100-000067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xmlns="" id="{00000000-0008-0000-0100-000068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xmlns="" id="{00000000-0008-0000-0100-000069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xmlns="" id="{00000000-0008-0000-0100-00006A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xmlns="" id="{00000000-0008-0000-0100-00006B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xmlns="" id="{00000000-0008-0000-0100-00006C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xmlns="" id="{00000000-0008-0000-0100-00006D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xmlns="" id="{00000000-0008-0000-0100-00006E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xmlns="" id="{00000000-0008-0000-0100-00006F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xmlns="" id="{00000000-0008-0000-0100-000070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xmlns="" id="{00000000-0008-0000-0100-000071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xmlns="" id="{00000000-0008-0000-0100-000072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xmlns="" id="{00000000-0008-0000-0100-000073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xmlns="" id="{00000000-0008-0000-0100-000074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xmlns="" id="{00000000-0008-0000-0100-000075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xmlns="" id="{00000000-0008-0000-0100-000076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xmlns="" id="{00000000-0008-0000-0100-000077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xmlns="" id="{00000000-0008-0000-0100-000078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xmlns="" id="{00000000-0008-0000-0100-000079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xmlns="" id="{00000000-0008-0000-0100-00007A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xmlns="" id="{00000000-0008-0000-0100-00007B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xmlns="" id="{00000000-0008-0000-0100-00007C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xmlns="" id="{00000000-0008-0000-0100-00007D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xmlns="" id="{00000000-0008-0000-0100-00007E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xmlns="" id="{00000000-0008-0000-0100-00007F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xmlns="" id="{00000000-0008-0000-0100-000080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xmlns="" id="{00000000-0008-0000-0100-000081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xmlns="" id="{00000000-0008-0000-0100-000082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xmlns="" id="{00000000-0008-0000-0100-000083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xmlns="" id="{00000000-0008-0000-0100-000084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xmlns="" id="{00000000-0008-0000-0100-000085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xmlns="" id="{00000000-0008-0000-0100-000086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xmlns="" id="{00000000-0008-0000-0100-000087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xmlns="" id="{00000000-0008-0000-0100-000088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xmlns="" id="{00000000-0008-0000-0100-000089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xmlns="" id="{00000000-0008-0000-0100-00008A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xmlns="" id="{00000000-0008-0000-0100-00008B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xmlns="" id="{00000000-0008-0000-0100-00008C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xmlns="" id="{00000000-0008-0000-0100-00008D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xmlns="" id="{00000000-0008-0000-0100-00008E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xmlns="" id="{00000000-0008-0000-0100-00008F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xmlns="" id="{00000000-0008-0000-0100-000090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xmlns="" id="{00000000-0008-0000-0100-000091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xmlns="" id="{00000000-0008-0000-0100-000092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xmlns="" id="{00000000-0008-0000-0100-000093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xmlns="" id="{00000000-0008-0000-0100-000094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xmlns="" id="{00000000-0008-0000-0100-000095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xmlns="" id="{00000000-0008-0000-0100-000096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xmlns="" id="{00000000-0008-0000-0100-000097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xmlns="" id="{00000000-0008-0000-0100-000098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xmlns="" id="{00000000-0008-0000-0100-000099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xmlns="" id="{00000000-0008-0000-0100-00009A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xmlns="" id="{00000000-0008-0000-0100-00009B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xmlns="" id="{00000000-0008-0000-0100-00009C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xmlns="" id="{00000000-0008-0000-0100-00009D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xmlns="" id="{00000000-0008-0000-0100-00009E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xmlns="" id="{00000000-0008-0000-0100-00009F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xmlns="" id="{00000000-0008-0000-0100-0000A0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xmlns="" id="{00000000-0008-0000-0100-0000A1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xmlns="" id="{00000000-0008-0000-0100-0000A2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xmlns="" id="{00000000-0008-0000-0100-0000A3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xmlns="" id="{00000000-0008-0000-0100-0000A4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xmlns="" id="{00000000-0008-0000-0100-0000A5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xmlns="" id="{00000000-0008-0000-0100-0000A6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xmlns="" id="{00000000-0008-0000-0100-0000A7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xmlns="" id="{00000000-0008-0000-0100-0000A8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xmlns="" id="{00000000-0008-0000-0100-0000A9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xmlns="" id="{00000000-0008-0000-0100-0000AA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xmlns="" id="{00000000-0008-0000-0100-0000AB000000}"/>
            </a:ext>
          </a:extLst>
        </xdr:cNvPr>
        <xdr:cNvSpPr txBox="1"/>
      </xdr:nvSpPr>
      <xdr:spPr>
        <a:xfrm>
          <a:off x="15296218" y="659295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xmlns="" id="{00000000-0008-0000-0100-0000AC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73" name="TextBox 172">
          <a:extLst>
            <a:ext uri="{FF2B5EF4-FFF2-40B4-BE49-F238E27FC236}">
              <a16:creationId xmlns:a16="http://schemas.microsoft.com/office/drawing/2014/main" xmlns="" id="{00000000-0008-0000-0100-0000AD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xmlns="" id="{00000000-0008-0000-0100-0000AE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xmlns="" id="{00000000-0008-0000-0100-0000AF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xmlns="" id="{00000000-0008-0000-0100-0000B0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xmlns="" id="{00000000-0008-0000-0100-0000B1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xmlns="" id="{00000000-0008-0000-0100-0000B2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xmlns="" id="{00000000-0008-0000-0100-0000B3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xmlns="" id="{00000000-0008-0000-0100-0000B4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81" name="TextBox 180">
          <a:extLst>
            <a:ext uri="{FF2B5EF4-FFF2-40B4-BE49-F238E27FC236}">
              <a16:creationId xmlns:a16="http://schemas.microsoft.com/office/drawing/2014/main" xmlns="" id="{00000000-0008-0000-0100-0000B5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xmlns="" id="{00000000-0008-0000-0100-0000B6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83" name="TextBox 182">
          <a:extLst>
            <a:ext uri="{FF2B5EF4-FFF2-40B4-BE49-F238E27FC236}">
              <a16:creationId xmlns:a16="http://schemas.microsoft.com/office/drawing/2014/main" xmlns="" id="{00000000-0008-0000-0100-0000B7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xmlns="" id="{00000000-0008-0000-0100-0000B8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xmlns="" id="{00000000-0008-0000-0100-0000B9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xmlns="" id="{00000000-0008-0000-0100-0000BA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xmlns="" id="{00000000-0008-0000-0100-0000BB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xmlns="" id="{00000000-0008-0000-0100-0000BC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xmlns="" id="{00000000-0008-0000-0100-0000BD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xmlns="" id="{00000000-0008-0000-0100-0000BE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xmlns="" id="{00000000-0008-0000-0100-0000BF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xmlns="" id="{00000000-0008-0000-0100-0000C0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xmlns="" id="{00000000-0008-0000-0100-0000C1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xmlns="" id="{00000000-0008-0000-0100-0000C2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95" name="TextBox 194">
          <a:extLst>
            <a:ext uri="{FF2B5EF4-FFF2-40B4-BE49-F238E27FC236}">
              <a16:creationId xmlns:a16="http://schemas.microsoft.com/office/drawing/2014/main" xmlns="" id="{00000000-0008-0000-0100-0000C3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96" name="TextBox 195">
          <a:extLst>
            <a:ext uri="{FF2B5EF4-FFF2-40B4-BE49-F238E27FC236}">
              <a16:creationId xmlns:a16="http://schemas.microsoft.com/office/drawing/2014/main" xmlns="" id="{00000000-0008-0000-0100-0000C4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xmlns="" id="{00000000-0008-0000-0100-0000C5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98" name="TextBox 197">
          <a:extLst>
            <a:ext uri="{FF2B5EF4-FFF2-40B4-BE49-F238E27FC236}">
              <a16:creationId xmlns:a16="http://schemas.microsoft.com/office/drawing/2014/main" xmlns="" id="{00000000-0008-0000-0100-0000C6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xmlns="" id="{00000000-0008-0000-0100-0000C7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00" name="TextBox 199">
          <a:extLst>
            <a:ext uri="{FF2B5EF4-FFF2-40B4-BE49-F238E27FC236}">
              <a16:creationId xmlns:a16="http://schemas.microsoft.com/office/drawing/2014/main" xmlns="" id="{00000000-0008-0000-0100-0000C8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xmlns="" id="{00000000-0008-0000-0100-0000C9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02" name="TextBox 201">
          <a:extLst>
            <a:ext uri="{FF2B5EF4-FFF2-40B4-BE49-F238E27FC236}">
              <a16:creationId xmlns:a16="http://schemas.microsoft.com/office/drawing/2014/main" xmlns="" id="{00000000-0008-0000-0100-0000CA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03" name="TextBox 202">
          <a:extLst>
            <a:ext uri="{FF2B5EF4-FFF2-40B4-BE49-F238E27FC236}">
              <a16:creationId xmlns:a16="http://schemas.microsoft.com/office/drawing/2014/main" xmlns="" id="{00000000-0008-0000-0100-0000CB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xmlns="" id="{00000000-0008-0000-0100-0000CC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xmlns="" id="{00000000-0008-0000-0100-0000CD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06" name="TextBox 205">
          <a:extLst>
            <a:ext uri="{FF2B5EF4-FFF2-40B4-BE49-F238E27FC236}">
              <a16:creationId xmlns:a16="http://schemas.microsoft.com/office/drawing/2014/main" xmlns="" id="{00000000-0008-0000-0100-0000CE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07" name="TextBox 206">
          <a:extLst>
            <a:ext uri="{FF2B5EF4-FFF2-40B4-BE49-F238E27FC236}">
              <a16:creationId xmlns:a16="http://schemas.microsoft.com/office/drawing/2014/main" xmlns="" id="{00000000-0008-0000-0100-0000CF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08" name="TextBox 207">
          <a:extLst>
            <a:ext uri="{FF2B5EF4-FFF2-40B4-BE49-F238E27FC236}">
              <a16:creationId xmlns:a16="http://schemas.microsoft.com/office/drawing/2014/main" xmlns="" id="{00000000-0008-0000-0100-0000D0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xmlns="" id="{00000000-0008-0000-0100-0000D1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xmlns="" id="{00000000-0008-0000-0100-0000D2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11" name="TextBox 210">
          <a:extLst>
            <a:ext uri="{FF2B5EF4-FFF2-40B4-BE49-F238E27FC236}">
              <a16:creationId xmlns:a16="http://schemas.microsoft.com/office/drawing/2014/main" xmlns="" id="{00000000-0008-0000-0100-0000D3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12" name="TextBox 211">
          <a:extLst>
            <a:ext uri="{FF2B5EF4-FFF2-40B4-BE49-F238E27FC236}">
              <a16:creationId xmlns:a16="http://schemas.microsoft.com/office/drawing/2014/main" xmlns="" id="{00000000-0008-0000-0100-0000D4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xmlns="" id="{00000000-0008-0000-0100-0000D5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xmlns="" id="{00000000-0008-0000-0100-0000D6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xmlns="" id="{00000000-0008-0000-0100-0000D7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xmlns="" id="{00000000-0008-0000-0100-0000D8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xmlns="" id="{00000000-0008-0000-0100-0000D9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18" name="TextBox 217">
          <a:extLst>
            <a:ext uri="{FF2B5EF4-FFF2-40B4-BE49-F238E27FC236}">
              <a16:creationId xmlns:a16="http://schemas.microsoft.com/office/drawing/2014/main" xmlns="" id="{00000000-0008-0000-0100-0000DA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19" name="TextBox 218">
          <a:extLst>
            <a:ext uri="{FF2B5EF4-FFF2-40B4-BE49-F238E27FC236}">
              <a16:creationId xmlns:a16="http://schemas.microsoft.com/office/drawing/2014/main" xmlns="" id="{00000000-0008-0000-0100-0000DB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20" name="TextBox 219">
          <a:extLst>
            <a:ext uri="{FF2B5EF4-FFF2-40B4-BE49-F238E27FC236}">
              <a16:creationId xmlns:a16="http://schemas.microsoft.com/office/drawing/2014/main" xmlns="" id="{00000000-0008-0000-0100-0000DC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xmlns="" id="{00000000-0008-0000-0100-0000DD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22" name="TextBox 221">
          <a:extLst>
            <a:ext uri="{FF2B5EF4-FFF2-40B4-BE49-F238E27FC236}">
              <a16:creationId xmlns:a16="http://schemas.microsoft.com/office/drawing/2014/main" xmlns="" id="{00000000-0008-0000-0100-0000DE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xmlns="" id="{00000000-0008-0000-0100-0000DF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xmlns="" id="{00000000-0008-0000-0100-0000E0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xmlns="" id="{00000000-0008-0000-0100-0000E1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26" name="TextBox 225">
          <a:extLst>
            <a:ext uri="{FF2B5EF4-FFF2-40B4-BE49-F238E27FC236}">
              <a16:creationId xmlns:a16="http://schemas.microsoft.com/office/drawing/2014/main" xmlns="" id="{00000000-0008-0000-0100-0000E2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27" name="TextBox 226">
          <a:extLst>
            <a:ext uri="{FF2B5EF4-FFF2-40B4-BE49-F238E27FC236}">
              <a16:creationId xmlns:a16="http://schemas.microsoft.com/office/drawing/2014/main" xmlns="" id="{00000000-0008-0000-0100-0000E3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xmlns="" id="{00000000-0008-0000-0100-0000E4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29" name="TextBox 228">
          <a:extLst>
            <a:ext uri="{FF2B5EF4-FFF2-40B4-BE49-F238E27FC236}">
              <a16:creationId xmlns:a16="http://schemas.microsoft.com/office/drawing/2014/main" xmlns="" id="{00000000-0008-0000-0100-0000E5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30" name="TextBox 229">
          <a:extLst>
            <a:ext uri="{FF2B5EF4-FFF2-40B4-BE49-F238E27FC236}">
              <a16:creationId xmlns:a16="http://schemas.microsoft.com/office/drawing/2014/main" xmlns="" id="{00000000-0008-0000-0100-0000E6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31" name="TextBox 230">
          <a:extLst>
            <a:ext uri="{FF2B5EF4-FFF2-40B4-BE49-F238E27FC236}">
              <a16:creationId xmlns:a16="http://schemas.microsoft.com/office/drawing/2014/main" xmlns="" id="{00000000-0008-0000-0100-0000E7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32" name="TextBox 231">
          <a:extLst>
            <a:ext uri="{FF2B5EF4-FFF2-40B4-BE49-F238E27FC236}">
              <a16:creationId xmlns:a16="http://schemas.microsoft.com/office/drawing/2014/main" xmlns="" id="{00000000-0008-0000-0100-0000E8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xmlns="" id="{00000000-0008-0000-0100-0000E9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34" name="TextBox 233">
          <a:extLst>
            <a:ext uri="{FF2B5EF4-FFF2-40B4-BE49-F238E27FC236}">
              <a16:creationId xmlns:a16="http://schemas.microsoft.com/office/drawing/2014/main" xmlns="" id="{00000000-0008-0000-0100-0000EA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35" name="TextBox 234">
          <a:extLst>
            <a:ext uri="{FF2B5EF4-FFF2-40B4-BE49-F238E27FC236}">
              <a16:creationId xmlns:a16="http://schemas.microsoft.com/office/drawing/2014/main" xmlns="" id="{00000000-0008-0000-0100-0000EB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36" name="TextBox 235">
          <a:extLst>
            <a:ext uri="{FF2B5EF4-FFF2-40B4-BE49-F238E27FC236}">
              <a16:creationId xmlns:a16="http://schemas.microsoft.com/office/drawing/2014/main" xmlns="" id="{00000000-0008-0000-0100-0000EC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37" name="TextBox 236">
          <a:extLst>
            <a:ext uri="{FF2B5EF4-FFF2-40B4-BE49-F238E27FC236}">
              <a16:creationId xmlns:a16="http://schemas.microsoft.com/office/drawing/2014/main" xmlns="" id="{00000000-0008-0000-0100-0000ED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38" name="TextBox 237">
          <a:extLst>
            <a:ext uri="{FF2B5EF4-FFF2-40B4-BE49-F238E27FC236}">
              <a16:creationId xmlns:a16="http://schemas.microsoft.com/office/drawing/2014/main" xmlns="" id="{00000000-0008-0000-0100-0000EE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xmlns="" id="{00000000-0008-0000-0100-0000EF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40" name="TextBox 239">
          <a:extLst>
            <a:ext uri="{FF2B5EF4-FFF2-40B4-BE49-F238E27FC236}">
              <a16:creationId xmlns:a16="http://schemas.microsoft.com/office/drawing/2014/main" xmlns="" id="{00000000-0008-0000-0100-0000F0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41" name="TextBox 240">
          <a:extLst>
            <a:ext uri="{FF2B5EF4-FFF2-40B4-BE49-F238E27FC236}">
              <a16:creationId xmlns:a16="http://schemas.microsoft.com/office/drawing/2014/main" xmlns="" id="{00000000-0008-0000-0100-0000F1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42" name="TextBox 241">
          <a:extLst>
            <a:ext uri="{FF2B5EF4-FFF2-40B4-BE49-F238E27FC236}">
              <a16:creationId xmlns:a16="http://schemas.microsoft.com/office/drawing/2014/main" xmlns="" id="{00000000-0008-0000-0100-0000F2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43" name="TextBox 242">
          <a:extLst>
            <a:ext uri="{FF2B5EF4-FFF2-40B4-BE49-F238E27FC236}">
              <a16:creationId xmlns:a16="http://schemas.microsoft.com/office/drawing/2014/main" xmlns="" id="{00000000-0008-0000-0100-0000F3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44" name="TextBox 243">
          <a:extLst>
            <a:ext uri="{FF2B5EF4-FFF2-40B4-BE49-F238E27FC236}">
              <a16:creationId xmlns:a16="http://schemas.microsoft.com/office/drawing/2014/main" xmlns="" id="{00000000-0008-0000-0100-0000F4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45" name="TextBox 244">
          <a:extLst>
            <a:ext uri="{FF2B5EF4-FFF2-40B4-BE49-F238E27FC236}">
              <a16:creationId xmlns:a16="http://schemas.microsoft.com/office/drawing/2014/main" xmlns="" id="{00000000-0008-0000-0100-0000F5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xmlns="" id="{00000000-0008-0000-0100-0000F6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xmlns="" id="{00000000-0008-0000-0100-0000F7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xmlns="" id="{00000000-0008-0000-0100-0000F8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xmlns="" id="{00000000-0008-0000-0100-0000F9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xmlns="" id="{00000000-0008-0000-0100-0000FA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51" name="TextBox 250">
          <a:extLst>
            <a:ext uri="{FF2B5EF4-FFF2-40B4-BE49-F238E27FC236}">
              <a16:creationId xmlns:a16="http://schemas.microsoft.com/office/drawing/2014/main" xmlns="" id="{00000000-0008-0000-0100-0000FB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xmlns="" id="{00000000-0008-0000-0100-0000FC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xmlns="" id="{00000000-0008-0000-0100-0000FD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xmlns="" id="{00000000-0008-0000-0100-0000FE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xmlns="" id="{00000000-0008-0000-0100-0000FF00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56" name="TextBox 255">
          <a:extLst>
            <a:ext uri="{FF2B5EF4-FFF2-40B4-BE49-F238E27FC236}">
              <a16:creationId xmlns:a16="http://schemas.microsoft.com/office/drawing/2014/main" xmlns="" id="{00000000-0008-0000-0100-000000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xmlns="" id="{00000000-0008-0000-0100-000001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xmlns="" id="{00000000-0008-0000-0100-000002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xmlns="" id="{00000000-0008-0000-0100-000003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xmlns="" id="{00000000-0008-0000-0100-000004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xmlns="" id="{00000000-0008-0000-0100-000005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62" name="TextBox 261">
          <a:extLst>
            <a:ext uri="{FF2B5EF4-FFF2-40B4-BE49-F238E27FC236}">
              <a16:creationId xmlns:a16="http://schemas.microsoft.com/office/drawing/2014/main" xmlns="" id="{00000000-0008-0000-0100-000006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xmlns="" id="{00000000-0008-0000-0100-000007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xmlns="" id="{00000000-0008-0000-0100-000008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xmlns="" id="{00000000-0008-0000-0100-000009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xmlns="" id="{00000000-0008-0000-0100-00000A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xmlns="" id="{00000000-0008-0000-0100-00000B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xmlns="" id="{00000000-0008-0000-0100-00000C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xmlns="" id="{00000000-0008-0000-0100-00000D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xmlns="" id="{00000000-0008-0000-0100-00000E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xmlns="" id="{00000000-0008-0000-0100-00000F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xmlns="" id="{00000000-0008-0000-0100-000010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xmlns="" id="{00000000-0008-0000-0100-000011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xmlns="" id="{00000000-0008-0000-0100-000012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xmlns="" id="{00000000-0008-0000-0100-000013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xmlns="" id="{00000000-0008-0000-0100-000014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xmlns="" id="{00000000-0008-0000-0100-000015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xmlns="" id="{00000000-0008-0000-0100-000016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xmlns="" id="{00000000-0008-0000-0100-000017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xmlns="" id="{00000000-0008-0000-0100-000018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xmlns="" id="{00000000-0008-0000-0100-000019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xmlns="" id="{00000000-0008-0000-0100-00001A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xmlns="" id="{00000000-0008-0000-0100-00001B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xmlns="" id="{00000000-0008-0000-0100-00001C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xmlns="" id="{00000000-0008-0000-0100-00001D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xmlns="" id="{00000000-0008-0000-0100-00001E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xmlns="" id="{00000000-0008-0000-0100-00001F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xmlns="" id="{00000000-0008-0000-0100-000020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xmlns="" id="{00000000-0008-0000-0100-000021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xmlns="" id="{00000000-0008-0000-0100-000022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xmlns="" id="{00000000-0008-0000-0100-000023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92" name="TextBox 291">
          <a:extLst>
            <a:ext uri="{FF2B5EF4-FFF2-40B4-BE49-F238E27FC236}">
              <a16:creationId xmlns:a16="http://schemas.microsoft.com/office/drawing/2014/main" xmlns="" id="{00000000-0008-0000-0100-000024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93" name="TextBox 292">
          <a:extLst>
            <a:ext uri="{FF2B5EF4-FFF2-40B4-BE49-F238E27FC236}">
              <a16:creationId xmlns:a16="http://schemas.microsoft.com/office/drawing/2014/main" xmlns="" id="{00000000-0008-0000-0100-000025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xmlns="" id="{00000000-0008-0000-0100-000026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95" name="TextBox 294">
          <a:extLst>
            <a:ext uri="{FF2B5EF4-FFF2-40B4-BE49-F238E27FC236}">
              <a16:creationId xmlns:a16="http://schemas.microsoft.com/office/drawing/2014/main" xmlns="" id="{00000000-0008-0000-0100-000027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xmlns="" id="{00000000-0008-0000-0100-000028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97" name="TextBox 296">
          <a:extLst>
            <a:ext uri="{FF2B5EF4-FFF2-40B4-BE49-F238E27FC236}">
              <a16:creationId xmlns:a16="http://schemas.microsoft.com/office/drawing/2014/main" xmlns="" id="{00000000-0008-0000-0100-000029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xmlns="" id="{00000000-0008-0000-0100-00002A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xmlns="" id="{00000000-0008-0000-0100-00002B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xmlns="" id="{00000000-0008-0000-0100-00002C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xmlns="" id="{00000000-0008-0000-0100-00002D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xmlns="" id="{00000000-0008-0000-0100-00002E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xmlns="" id="{00000000-0008-0000-0100-00002F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xmlns="" id="{00000000-0008-0000-0100-000030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xmlns="" id="{00000000-0008-0000-0100-000031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xmlns="" id="{00000000-0008-0000-0100-000032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07" name="TextBox 306">
          <a:extLst>
            <a:ext uri="{FF2B5EF4-FFF2-40B4-BE49-F238E27FC236}">
              <a16:creationId xmlns:a16="http://schemas.microsoft.com/office/drawing/2014/main" xmlns="" id="{00000000-0008-0000-0100-000033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08" name="TextBox 307">
          <a:extLst>
            <a:ext uri="{FF2B5EF4-FFF2-40B4-BE49-F238E27FC236}">
              <a16:creationId xmlns:a16="http://schemas.microsoft.com/office/drawing/2014/main" xmlns="" id="{00000000-0008-0000-0100-000034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09" name="TextBox 308">
          <a:extLst>
            <a:ext uri="{FF2B5EF4-FFF2-40B4-BE49-F238E27FC236}">
              <a16:creationId xmlns:a16="http://schemas.microsoft.com/office/drawing/2014/main" xmlns="" id="{00000000-0008-0000-0100-000035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10" name="TextBox 309">
          <a:extLst>
            <a:ext uri="{FF2B5EF4-FFF2-40B4-BE49-F238E27FC236}">
              <a16:creationId xmlns:a16="http://schemas.microsoft.com/office/drawing/2014/main" xmlns="" id="{00000000-0008-0000-0100-000036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xmlns="" id="{00000000-0008-0000-0100-000037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xmlns="" id="{00000000-0008-0000-0100-000038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xmlns="" id="{00000000-0008-0000-0100-000039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xmlns="" id="{00000000-0008-0000-0100-00003A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xmlns="" id="{00000000-0008-0000-0100-00003B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xmlns="" id="{00000000-0008-0000-0100-00003C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17" name="TextBox 316">
          <a:extLst>
            <a:ext uri="{FF2B5EF4-FFF2-40B4-BE49-F238E27FC236}">
              <a16:creationId xmlns:a16="http://schemas.microsoft.com/office/drawing/2014/main" xmlns="" id="{00000000-0008-0000-0100-00003D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xmlns="" id="{00000000-0008-0000-0100-00003E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19" name="TextBox 318">
          <a:extLst>
            <a:ext uri="{FF2B5EF4-FFF2-40B4-BE49-F238E27FC236}">
              <a16:creationId xmlns:a16="http://schemas.microsoft.com/office/drawing/2014/main" xmlns="" id="{00000000-0008-0000-0100-00003F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20" name="TextBox 319">
          <a:extLst>
            <a:ext uri="{FF2B5EF4-FFF2-40B4-BE49-F238E27FC236}">
              <a16:creationId xmlns:a16="http://schemas.microsoft.com/office/drawing/2014/main" xmlns="" id="{00000000-0008-0000-0100-000040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21" name="TextBox 320">
          <a:extLst>
            <a:ext uri="{FF2B5EF4-FFF2-40B4-BE49-F238E27FC236}">
              <a16:creationId xmlns:a16="http://schemas.microsoft.com/office/drawing/2014/main" xmlns="" id="{00000000-0008-0000-0100-000041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xmlns="" id="{00000000-0008-0000-0100-000042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xmlns="" id="{00000000-0008-0000-0100-000043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xmlns="" id="{00000000-0008-0000-0100-000044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xmlns="" id="{00000000-0008-0000-0100-000045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xmlns="" id="{00000000-0008-0000-0100-000046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xmlns="" id="{00000000-0008-0000-0100-000047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xmlns="" id="{00000000-0008-0000-0100-000048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xmlns="" id="{00000000-0008-0000-0100-000049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xmlns="" id="{00000000-0008-0000-0100-00004A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xmlns="" id="{00000000-0008-0000-0100-00004B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xmlns="" id="{00000000-0008-0000-0100-00004C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xmlns="" id="{00000000-0008-0000-0100-00004D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34" name="TextBox 333">
          <a:extLst>
            <a:ext uri="{FF2B5EF4-FFF2-40B4-BE49-F238E27FC236}">
              <a16:creationId xmlns:a16="http://schemas.microsoft.com/office/drawing/2014/main" xmlns="" id="{00000000-0008-0000-0100-00004E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xmlns="" id="{00000000-0008-0000-0100-00004F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xmlns="" id="{00000000-0008-0000-0100-000050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xmlns="" id="{00000000-0008-0000-0100-000051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xmlns="" id="{00000000-0008-0000-0100-000052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xmlns="" id="{00000000-0008-0000-0100-000053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xmlns="" id="{00000000-0008-0000-0100-000054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xmlns="" id="{00000000-0008-0000-0100-000055010000}"/>
            </a:ext>
          </a:extLst>
        </xdr:cNvPr>
        <xdr:cNvSpPr txBox="1"/>
      </xdr:nvSpPr>
      <xdr:spPr>
        <a:xfrm>
          <a:off x="15296218" y="1257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42" name="TextBox 341">
          <a:extLst>
            <a:ext uri="{FF2B5EF4-FFF2-40B4-BE49-F238E27FC236}">
              <a16:creationId xmlns:a16="http://schemas.microsoft.com/office/drawing/2014/main" xmlns="" id="{00000000-0008-0000-0100-000056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43" name="TextBox 342">
          <a:extLst>
            <a:ext uri="{FF2B5EF4-FFF2-40B4-BE49-F238E27FC236}">
              <a16:creationId xmlns:a16="http://schemas.microsoft.com/office/drawing/2014/main" xmlns="" id="{00000000-0008-0000-0100-000057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44" name="TextBox 343">
          <a:extLst>
            <a:ext uri="{FF2B5EF4-FFF2-40B4-BE49-F238E27FC236}">
              <a16:creationId xmlns:a16="http://schemas.microsoft.com/office/drawing/2014/main" xmlns="" id="{00000000-0008-0000-0100-000058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45" name="TextBox 344">
          <a:extLst>
            <a:ext uri="{FF2B5EF4-FFF2-40B4-BE49-F238E27FC236}">
              <a16:creationId xmlns:a16="http://schemas.microsoft.com/office/drawing/2014/main" xmlns="" id="{00000000-0008-0000-0100-000059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46" name="TextBox 345">
          <a:extLst>
            <a:ext uri="{FF2B5EF4-FFF2-40B4-BE49-F238E27FC236}">
              <a16:creationId xmlns:a16="http://schemas.microsoft.com/office/drawing/2014/main" xmlns="" id="{00000000-0008-0000-0100-00005A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47" name="TextBox 346">
          <a:extLst>
            <a:ext uri="{FF2B5EF4-FFF2-40B4-BE49-F238E27FC236}">
              <a16:creationId xmlns:a16="http://schemas.microsoft.com/office/drawing/2014/main" xmlns="" id="{00000000-0008-0000-0100-00005B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48" name="TextBox 347">
          <a:extLst>
            <a:ext uri="{FF2B5EF4-FFF2-40B4-BE49-F238E27FC236}">
              <a16:creationId xmlns:a16="http://schemas.microsoft.com/office/drawing/2014/main" xmlns="" id="{00000000-0008-0000-0100-00005C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xmlns="" id="{00000000-0008-0000-0100-00005D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xmlns="" id="{00000000-0008-0000-0100-00005E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51" name="TextBox 350">
          <a:extLst>
            <a:ext uri="{FF2B5EF4-FFF2-40B4-BE49-F238E27FC236}">
              <a16:creationId xmlns:a16="http://schemas.microsoft.com/office/drawing/2014/main" xmlns="" id="{00000000-0008-0000-0100-00005F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xmlns="" id="{00000000-0008-0000-0100-000060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xmlns="" id="{00000000-0008-0000-0100-000061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xmlns="" id="{00000000-0008-0000-0100-000062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xmlns="" id="{00000000-0008-0000-0100-000063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xmlns="" id="{00000000-0008-0000-0100-000064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57" name="TextBox 356">
          <a:extLst>
            <a:ext uri="{FF2B5EF4-FFF2-40B4-BE49-F238E27FC236}">
              <a16:creationId xmlns:a16="http://schemas.microsoft.com/office/drawing/2014/main" xmlns="" id="{00000000-0008-0000-0100-000065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58" name="TextBox 357">
          <a:extLst>
            <a:ext uri="{FF2B5EF4-FFF2-40B4-BE49-F238E27FC236}">
              <a16:creationId xmlns:a16="http://schemas.microsoft.com/office/drawing/2014/main" xmlns="" id="{00000000-0008-0000-0100-000066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59" name="TextBox 358">
          <a:extLst>
            <a:ext uri="{FF2B5EF4-FFF2-40B4-BE49-F238E27FC236}">
              <a16:creationId xmlns:a16="http://schemas.microsoft.com/office/drawing/2014/main" xmlns="" id="{00000000-0008-0000-0100-000067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60" name="TextBox 359">
          <a:extLst>
            <a:ext uri="{FF2B5EF4-FFF2-40B4-BE49-F238E27FC236}">
              <a16:creationId xmlns:a16="http://schemas.microsoft.com/office/drawing/2014/main" xmlns="" id="{00000000-0008-0000-0100-000068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61" name="TextBox 360">
          <a:extLst>
            <a:ext uri="{FF2B5EF4-FFF2-40B4-BE49-F238E27FC236}">
              <a16:creationId xmlns:a16="http://schemas.microsoft.com/office/drawing/2014/main" xmlns="" id="{00000000-0008-0000-0100-000069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62" name="TextBox 361">
          <a:extLst>
            <a:ext uri="{FF2B5EF4-FFF2-40B4-BE49-F238E27FC236}">
              <a16:creationId xmlns:a16="http://schemas.microsoft.com/office/drawing/2014/main" xmlns="" id="{00000000-0008-0000-0100-00006A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63" name="TextBox 362">
          <a:extLst>
            <a:ext uri="{FF2B5EF4-FFF2-40B4-BE49-F238E27FC236}">
              <a16:creationId xmlns:a16="http://schemas.microsoft.com/office/drawing/2014/main" xmlns="" id="{00000000-0008-0000-0100-00006B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64" name="TextBox 363">
          <a:extLst>
            <a:ext uri="{FF2B5EF4-FFF2-40B4-BE49-F238E27FC236}">
              <a16:creationId xmlns:a16="http://schemas.microsoft.com/office/drawing/2014/main" xmlns="" id="{00000000-0008-0000-0100-00006C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65" name="TextBox 364">
          <a:extLst>
            <a:ext uri="{FF2B5EF4-FFF2-40B4-BE49-F238E27FC236}">
              <a16:creationId xmlns:a16="http://schemas.microsoft.com/office/drawing/2014/main" xmlns="" id="{00000000-0008-0000-0100-00006D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66" name="TextBox 365">
          <a:extLst>
            <a:ext uri="{FF2B5EF4-FFF2-40B4-BE49-F238E27FC236}">
              <a16:creationId xmlns:a16="http://schemas.microsoft.com/office/drawing/2014/main" xmlns="" id="{00000000-0008-0000-0100-00006E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67" name="TextBox 366">
          <a:extLst>
            <a:ext uri="{FF2B5EF4-FFF2-40B4-BE49-F238E27FC236}">
              <a16:creationId xmlns:a16="http://schemas.microsoft.com/office/drawing/2014/main" xmlns="" id="{00000000-0008-0000-0100-00006F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68" name="TextBox 367">
          <a:extLst>
            <a:ext uri="{FF2B5EF4-FFF2-40B4-BE49-F238E27FC236}">
              <a16:creationId xmlns:a16="http://schemas.microsoft.com/office/drawing/2014/main" xmlns="" id="{00000000-0008-0000-0100-000070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69" name="TextBox 368">
          <a:extLst>
            <a:ext uri="{FF2B5EF4-FFF2-40B4-BE49-F238E27FC236}">
              <a16:creationId xmlns:a16="http://schemas.microsoft.com/office/drawing/2014/main" xmlns="" id="{00000000-0008-0000-0100-000071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xmlns="" id="{00000000-0008-0000-0100-000072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xmlns="" id="{00000000-0008-0000-0100-000073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xmlns="" id="{00000000-0008-0000-0100-000074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xmlns="" id="{00000000-0008-0000-0100-000075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74" name="TextBox 373">
          <a:extLst>
            <a:ext uri="{FF2B5EF4-FFF2-40B4-BE49-F238E27FC236}">
              <a16:creationId xmlns:a16="http://schemas.microsoft.com/office/drawing/2014/main" xmlns="" id="{00000000-0008-0000-0100-000076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75" name="TextBox 374">
          <a:extLst>
            <a:ext uri="{FF2B5EF4-FFF2-40B4-BE49-F238E27FC236}">
              <a16:creationId xmlns:a16="http://schemas.microsoft.com/office/drawing/2014/main" xmlns="" id="{00000000-0008-0000-0100-000077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xmlns="" id="{00000000-0008-0000-0100-000078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xmlns="" id="{00000000-0008-0000-0100-000079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78" name="TextBox 377">
          <a:extLst>
            <a:ext uri="{FF2B5EF4-FFF2-40B4-BE49-F238E27FC236}">
              <a16:creationId xmlns:a16="http://schemas.microsoft.com/office/drawing/2014/main" xmlns="" id="{00000000-0008-0000-0100-00007A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79" name="TextBox 378">
          <a:extLst>
            <a:ext uri="{FF2B5EF4-FFF2-40B4-BE49-F238E27FC236}">
              <a16:creationId xmlns:a16="http://schemas.microsoft.com/office/drawing/2014/main" xmlns="" id="{00000000-0008-0000-0100-00007B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xmlns="" id="{00000000-0008-0000-0100-00007C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81" name="TextBox 380">
          <a:extLst>
            <a:ext uri="{FF2B5EF4-FFF2-40B4-BE49-F238E27FC236}">
              <a16:creationId xmlns:a16="http://schemas.microsoft.com/office/drawing/2014/main" xmlns="" id="{00000000-0008-0000-0100-00007D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xmlns="" id="{00000000-0008-0000-0100-00007E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xmlns="" id="{00000000-0008-0000-0100-00007F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xmlns="" id="{00000000-0008-0000-0100-000080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85" name="TextBox 384">
          <a:extLst>
            <a:ext uri="{FF2B5EF4-FFF2-40B4-BE49-F238E27FC236}">
              <a16:creationId xmlns:a16="http://schemas.microsoft.com/office/drawing/2014/main" xmlns="" id="{00000000-0008-0000-0100-000081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xmlns="" id="{00000000-0008-0000-0100-000082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87" name="TextBox 386">
          <a:extLst>
            <a:ext uri="{FF2B5EF4-FFF2-40B4-BE49-F238E27FC236}">
              <a16:creationId xmlns:a16="http://schemas.microsoft.com/office/drawing/2014/main" xmlns="" id="{00000000-0008-0000-0100-000083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88" name="TextBox 387">
          <a:extLst>
            <a:ext uri="{FF2B5EF4-FFF2-40B4-BE49-F238E27FC236}">
              <a16:creationId xmlns:a16="http://schemas.microsoft.com/office/drawing/2014/main" xmlns="" id="{00000000-0008-0000-0100-000084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89" name="TextBox 388">
          <a:extLst>
            <a:ext uri="{FF2B5EF4-FFF2-40B4-BE49-F238E27FC236}">
              <a16:creationId xmlns:a16="http://schemas.microsoft.com/office/drawing/2014/main" xmlns="" id="{00000000-0008-0000-0100-000085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xmlns="" id="{00000000-0008-0000-0100-000086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xmlns="" id="{00000000-0008-0000-0100-000087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xmlns="" id="{00000000-0008-0000-0100-000088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xmlns="" id="{00000000-0008-0000-0100-000089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94" name="TextBox 393">
          <a:extLst>
            <a:ext uri="{FF2B5EF4-FFF2-40B4-BE49-F238E27FC236}">
              <a16:creationId xmlns:a16="http://schemas.microsoft.com/office/drawing/2014/main" xmlns="" id="{00000000-0008-0000-0100-00008A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95" name="TextBox 394">
          <a:extLst>
            <a:ext uri="{FF2B5EF4-FFF2-40B4-BE49-F238E27FC236}">
              <a16:creationId xmlns:a16="http://schemas.microsoft.com/office/drawing/2014/main" xmlns="" id="{00000000-0008-0000-0100-00008B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96" name="TextBox 395">
          <a:extLst>
            <a:ext uri="{FF2B5EF4-FFF2-40B4-BE49-F238E27FC236}">
              <a16:creationId xmlns:a16="http://schemas.microsoft.com/office/drawing/2014/main" xmlns="" id="{00000000-0008-0000-0100-00008C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97" name="TextBox 396">
          <a:extLst>
            <a:ext uri="{FF2B5EF4-FFF2-40B4-BE49-F238E27FC236}">
              <a16:creationId xmlns:a16="http://schemas.microsoft.com/office/drawing/2014/main" xmlns="" id="{00000000-0008-0000-0100-00008D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xmlns="" id="{00000000-0008-0000-0100-00008E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xmlns="" id="{00000000-0008-0000-0100-00008F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xmlns="" id="{00000000-0008-0000-0100-000090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xmlns="" id="{00000000-0008-0000-0100-000091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xmlns="" id="{00000000-0008-0000-0100-000092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03" name="TextBox 402">
          <a:extLst>
            <a:ext uri="{FF2B5EF4-FFF2-40B4-BE49-F238E27FC236}">
              <a16:creationId xmlns:a16="http://schemas.microsoft.com/office/drawing/2014/main" xmlns="" id="{00000000-0008-0000-0100-000093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04" name="TextBox 403">
          <a:extLst>
            <a:ext uri="{FF2B5EF4-FFF2-40B4-BE49-F238E27FC236}">
              <a16:creationId xmlns:a16="http://schemas.microsoft.com/office/drawing/2014/main" xmlns="" id="{00000000-0008-0000-0100-000094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05" name="TextBox 404">
          <a:extLst>
            <a:ext uri="{FF2B5EF4-FFF2-40B4-BE49-F238E27FC236}">
              <a16:creationId xmlns:a16="http://schemas.microsoft.com/office/drawing/2014/main" xmlns="" id="{00000000-0008-0000-0100-000095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06" name="TextBox 405">
          <a:extLst>
            <a:ext uri="{FF2B5EF4-FFF2-40B4-BE49-F238E27FC236}">
              <a16:creationId xmlns:a16="http://schemas.microsoft.com/office/drawing/2014/main" xmlns="" id="{00000000-0008-0000-0100-000096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xmlns="" id="{00000000-0008-0000-0100-000097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08" name="TextBox 407">
          <a:extLst>
            <a:ext uri="{FF2B5EF4-FFF2-40B4-BE49-F238E27FC236}">
              <a16:creationId xmlns:a16="http://schemas.microsoft.com/office/drawing/2014/main" xmlns="" id="{00000000-0008-0000-0100-000098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xmlns="" id="{00000000-0008-0000-0100-000099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10" name="TextBox 409">
          <a:extLst>
            <a:ext uri="{FF2B5EF4-FFF2-40B4-BE49-F238E27FC236}">
              <a16:creationId xmlns:a16="http://schemas.microsoft.com/office/drawing/2014/main" xmlns="" id="{00000000-0008-0000-0100-00009A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11" name="TextBox 410">
          <a:extLst>
            <a:ext uri="{FF2B5EF4-FFF2-40B4-BE49-F238E27FC236}">
              <a16:creationId xmlns:a16="http://schemas.microsoft.com/office/drawing/2014/main" xmlns="" id="{00000000-0008-0000-0100-00009B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xmlns="" id="{00000000-0008-0000-0100-00009C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xmlns="" id="{00000000-0008-0000-0100-00009D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xmlns="" id="{00000000-0008-0000-0100-00009E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xmlns="" id="{00000000-0008-0000-0100-00009F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xmlns="" id="{00000000-0008-0000-0100-0000A0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xmlns="" id="{00000000-0008-0000-0100-0000A1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18" name="TextBox 417">
          <a:extLst>
            <a:ext uri="{FF2B5EF4-FFF2-40B4-BE49-F238E27FC236}">
              <a16:creationId xmlns:a16="http://schemas.microsoft.com/office/drawing/2014/main" xmlns="" id="{00000000-0008-0000-0100-0000A2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xmlns="" id="{00000000-0008-0000-0100-0000A3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xmlns="" id="{00000000-0008-0000-0100-0000A4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xmlns="" id="{00000000-0008-0000-0100-0000A5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xmlns="" id="{00000000-0008-0000-0100-0000A6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xmlns="" id="{00000000-0008-0000-0100-0000A7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xmlns="" id="{00000000-0008-0000-0100-0000A8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xmlns="" id="{00000000-0008-0000-0100-0000A9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xmlns="" id="{00000000-0008-0000-0100-0000AA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xmlns="" id="{00000000-0008-0000-0100-0000AB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xmlns="" id="{00000000-0008-0000-0100-0000AC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xmlns="" id="{00000000-0008-0000-0100-0000AD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xmlns="" id="{00000000-0008-0000-0100-0000AE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xmlns="" id="{00000000-0008-0000-0100-0000AF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xmlns="" id="{00000000-0008-0000-0100-0000B0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xmlns="" id="{00000000-0008-0000-0100-0000B1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xmlns="" id="{00000000-0008-0000-0100-0000B2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xmlns="" id="{00000000-0008-0000-0100-0000B3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xmlns="" id="{00000000-0008-0000-0100-0000B4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xmlns="" id="{00000000-0008-0000-0100-0000B5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xmlns="" id="{00000000-0008-0000-0100-0000B6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xmlns="" id="{00000000-0008-0000-0100-0000B7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xmlns="" id="{00000000-0008-0000-0100-0000B8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41" name="TextBox 440">
          <a:extLst>
            <a:ext uri="{FF2B5EF4-FFF2-40B4-BE49-F238E27FC236}">
              <a16:creationId xmlns:a16="http://schemas.microsoft.com/office/drawing/2014/main" xmlns="" id="{00000000-0008-0000-0100-0000B9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42" name="TextBox 441">
          <a:extLst>
            <a:ext uri="{FF2B5EF4-FFF2-40B4-BE49-F238E27FC236}">
              <a16:creationId xmlns:a16="http://schemas.microsoft.com/office/drawing/2014/main" xmlns="" id="{00000000-0008-0000-0100-0000BA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43" name="TextBox 442">
          <a:extLst>
            <a:ext uri="{FF2B5EF4-FFF2-40B4-BE49-F238E27FC236}">
              <a16:creationId xmlns:a16="http://schemas.microsoft.com/office/drawing/2014/main" xmlns="" id="{00000000-0008-0000-0100-0000BB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44" name="TextBox 443">
          <a:extLst>
            <a:ext uri="{FF2B5EF4-FFF2-40B4-BE49-F238E27FC236}">
              <a16:creationId xmlns:a16="http://schemas.microsoft.com/office/drawing/2014/main" xmlns="" id="{00000000-0008-0000-0100-0000BC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xmlns="" id="{00000000-0008-0000-0100-0000BD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46" name="TextBox 445">
          <a:extLst>
            <a:ext uri="{FF2B5EF4-FFF2-40B4-BE49-F238E27FC236}">
              <a16:creationId xmlns:a16="http://schemas.microsoft.com/office/drawing/2014/main" xmlns="" id="{00000000-0008-0000-0100-0000BE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47" name="TextBox 446">
          <a:extLst>
            <a:ext uri="{FF2B5EF4-FFF2-40B4-BE49-F238E27FC236}">
              <a16:creationId xmlns:a16="http://schemas.microsoft.com/office/drawing/2014/main" xmlns="" id="{00000000-0008-0000-0100-0000BF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48" name="TextBox 447">
          <a:extLst>
            <a:ext uri="{FF2B5EF4-FFF2-40B4-BE49-F238E27FC236}">
              <a16:creationId xmlns:a16="http://schemas.microsoft.com/office/drawing/2014/main" xmlns="" id="{00000000-0008-0000-0100-0000C0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49" name="TextBox 448">
          <a:extLst>
            <a:ext uri="{FF2B5EF4-FFF2-40B4-BE49-F238E27FC236}">
              <a16:creationId xmlns:a16="http://schemas.microsoft.com/office/drawing/2014/main" xmlns="" id="{00000000-0008-0000-0100-0000C1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50" name="TextBox 449">
          <a:extLst>
            <a:ext uri="{FF2B5EF4-FFF2-40B4-BE49-F238E27FC236}">
              <a16:creationId xmlns:a16="http://schemas.microsoft.com/office/drawing/2014/main" xmlns="" id="{00000000-0008-0000-0100-0000C2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xmlns="" id="{00000000-0008-0000-0100-0000C3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52" name="TextBox 451">
          <a:extLst>
            <a:ext uri="{FF2B5EF4-FFF2-40B4-BE49-F238E27FC236}">
              <a16:creationId xmlns:a16="http://schemas.microsoft.com/office/drawing/2014/main" xmlns="" id="{00000000-0008-0000-0100-0000C4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53" name="TextBox 452">
          <a:extLst>
            <a:ext uri="{FF2B5EF4-FFF2-40B4-BE49-F238E27FC236}">
              <a16:creationId xmlns:a16="http://schemas.microsoft.com/office/drawing/2014/main" xmlns="" id="{00000000-0008-0000-0100-0000C5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54" name="TextBox 453">
          <a:extLst>
            <a:ext uri="{FF2B5EF4-FFF2-40B4-BE49-F238E27FC236}">
              <a16:creationId xmlns:a16="http://schemas.microsoft.com/office/drawing/2014/main" xmlns="" id="{00000000-0008-0000-0100-0000C6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55" name="TextBox 454">
          <a:extLst>
            <a:ext uri="{FF2B5EF4-FFF2-40B4-BE49-F238E27FC236}">
              <a16:creationId xmlns:a16="http://schemas.microsoft.com/office/drawing/2014/main" xmlns="" id="{00000000-0008-0000-0100-0000C7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56" name="TextBox 455">
          <a:extLst>
            <a:ext uri="{FF2B5EF4-FFF2-40B4-BE49-F238E27FC236}">
              <a16:creationId xmlns:a16="http://schemas.microsoft.com/office/drawing/2014/main" xmlns="" id="{00000000-0008-0000-0100-0000C8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57" name="TextBox 456">
          <a:extLst>
            <a:ext uri="{FF2B5EF4-FFF2-40B4-BE49-F238E27FC236}">
              <a16:creationId xmlns:a16="http://schemas.microsoft.com/office/drawing/2014/main" xmlns="" id="{00000000-0008-0000-0100-0000C9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58" name="TextBox 457">
          <a:extLst>
            <a:ext uri="{FF2B5EF4-FFF2-40B4-BE49-F238E27FC236}">
              <a16:creationId xmlns:a16="http://schemas.microsoft.com/office/drawing/2014/main" xmlns="" id="{00000000-0008-0000-0100-0000CA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59" name="TextBox 458">
          <a:extLst>
            <a:ext uri="{FF2B5EF4-FFF2-40B4-BE49-F238E27FC236}">
              <a16:creationId xmlns:a16="http://schemas.microsoft.com/office/drawing/2014/main" xmlns="" id="{00000000-0008-0000-0100-0000CB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60" name="TextBox 459">
          <a:extLst>
            <a:ext uri="{FF2B5EF4-FFF2-40B4-BE49-F238E27FC236}">
              <a16:creationId xmlns:a16="http://schemas.microsoft.com/office/drawing/2014/main" xmlns="" id="{00000000-0008-0000-0100-0000CC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61" name="TextBox 460">
          <a:extLst>
            <a:ext uri="{FF2B5EF4-FFF2-40B4-BE49-F238E27FC236}">
              <a16:creationId xmlns:a16="http://schemas.microsoft.com/office/drawing/2014/main" xmlns="" id="{00000000-0008-0000-0100-0000CD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62" name="TextBox 461">
          <a:extLst>
            <a:ext uri="{FF2B5EF4-FFF2-40B4-BE49-F238E27FC236}">
              <a16:creationId xmlns:a16="http://schemas.microsoft.com/office/drawing/2014/main" xmlns="" id="{00000000-0008-0000-0100-0000CE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63" name="TextBox 462">
          <a:extLst>
            <a:ext uri="{FF2B5EF4-FFF2-40B4-BE49-F238E27FC236}">
              <a16:creationId xmlns:a16="http://schemas.microsoft.com/office/drawing/2014/main" xmlns="" id="{00000000-0008-0000-0100-0000CF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64" name="TextBox 463">
          <a:extLst>
            <a:ext uri="{FF2B5EF4-FFF2-40B4-BE49-F238E27FC236}">
              <a16:creationId xmlns:a16="http://schemas.microsoft.com/office/drawing/2014/main" xmlns="" id="{00000000-0008-0000-0100-0000D0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65" name="TextBox 464">
          <a:extLst>
            <a:ext uri="{FF2B5EF4-FFF2-40B4-BE49-F238E27FC236}">
              <a16:creationId xmlns:a16="http://schemas.microsoft.com/office/drawing/2014/main" xmlns="" id="{00000000-0008-0000-0100-0000D1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xmlns="" id="{00000000-0008-0000-0100-0000D2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67" name="TextBox 466">
          <a:extLst>
            <a:ext uri="{FF2B5EF4-FFF2-40B4-BE49-F238E27FC236}">
              <a16:creationId xmlns:a16="http://schemas.microsoft.com/office/drawing/2014/main" xmlns="" id="{00000000-0008-0000-0100-0000D3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68" name="TextBox 467">
          <a:extLst>
            <a:ext uri="{FF2B5EF4-FFF2-40B4-BE49-F238E27FC236}">
              <a16:creationId xmlns:a16="http://schemas.microsoft.com/office/drawing/2014/main" xmlns="" id="{00000000-0008-0000-0100-0000D4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69" name="TextBox 468">
          <a:extLst>
            <a:ext uri="{FF2B5EF4-FFF2-40B4-BE49-F238E27FC236}">
              <a16:creationId xmlns:a16="http://schemas.microsoft.com/office/drawing/2014/main" xmlns="" id="{00000000-0008-0000-0100-0000D5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70" name="TextBox 469">
          <a:extLst>
            <a:ext uri="{FF2B5EF4-FFF2-40B4-BE49-F238E27FC236}">
              <a16:creationId xmlns:a16="http://schemas.microsoft.com/office/drawing/2014/main" xmlns="" id="{00000000-0008-0000-0100-0000D6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71" name="TextBox 470">
          <a:extLst>
            <a:ext uri="{FF2B5EF4-FFF2-40B4-BE49-F238E27FC236}">
              <a16:creationId xmlns:a16="http://schemas.microsoft.com/office/drawing/2014/main" xmlns="" id="{00000000-0008-0000-0100-0000D7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72" name="TextBox 471">
          <a:extLst>
            <a:ext uri="{FF2B5EF4-FFF2-40B4-BE49-F238E27FC236}">
              <a16:creationId xmlns:a16="http://schemas.microsoft.com/office/drawing/2014/main" xmlns="" id="{00000000-0008-0000-0100-0000D8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73" name="TextBox 472">
          <a:extLst>
            <a:ext uri="{FF2B5EF4-FFF2-40B4-BE49-F238E27FC236}">
              <a16:creationId xmlns:a16="http://schemas.microsoft.com/office/drawing/2014/main" xmlns="" id="{00000000-0008-0000-0100-0000D9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74" name="TextBox 473">
          <a:extLst>
            <a:ext uri="{FF2B5EF4-FFF2-40B4-BE49-F238E27FC236}">
              <a16:creationId xmlns:a16="http://schemas.microsoft.com/office/drawing/2014/main" xmlns="" id="{00000000-0008-0000-0100-0000DA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75" name="TextBox 474">
          <a:extLst>
            <a:ext uri="{FF2B5EF4-FFF2-40B4-BE49-F238E27FC236}">
              <a16:creationId xmlns:a16="http://schemas.microsoft.com/office/drawing/2014/main" xmlns="" id="{00000000-0008-0000-0100-0000DB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76" name="TextBox 475">
          <a:extLst>
            <a:ext uri="{FF2B5EF4-FFF2-40B4-BE49-F238E27FC236}">
              <a16:creationId xmlns:a16="http://schemas.microsoft.com/office/drawing/2014/main" xmlns="" id="{00000000-0008-0000-0100-0000DC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77" name="TextBox 476">
          <a:extLst>
            <a:ext uri="{FF2B5EF4-FFF2-40B4-BE49-F238E27FC236}">
              <a16:creationId xmlns:a16="http://schemas.microsoft.com/office/drawing/2014/main" xmlns="" id="{00000000-0008-0000-0100-0000DD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78" name="TextBox 477">
          <a:extLst>
            <a:ext uri="{FF2B5EF4-FFF2-40B4-BE49-F238E27FC236}">
              <a16:creationId xmlns:a16="http://schemas.microsoft.com/office/drawing/2014/main" xmlns="" id="{00000000-0008-0000-0100-0000DE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79" name="TextBox 478">
          <a:extLst>
            <a:ext uri="{FF2B5EF4-FFF2-40B4-BE49-F238E27FC236}">
              <a16:creationId xmlns:a16="http://schemas.microsoft.com/office/drawing/2014/main" xmlns="" id="{00000000-0008-0000-0100-0000DF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80" name="TextBox 479">
          <a:extLst>
            <a:ext uri="{FF2B5EF4-FFF2-40B4-BE49-F238E27FC236}">
              <a16:creationId xmlns:a16="http://schemas.microsoft.com/office/drawing/2014/main" xmlns="" id="{00000000-0008-0000-0100-0000E0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81" name="TextBox 480">
          <a:extLst>
            <a:ext uri="{FF2B5EF4-FFF2-40B4-BE49-F238E27FC236}">
              <a16:creationId xmlns:a16="http://schemas.microsoft.com/office/drawing/2014/main" xmlns="" id="{00000000-0008-0000-0100-0000E1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82" name="TextBox 481">
          <a:extLst>
            <a:ext uri="{FF2B5EF4-FFF2-40B4-BE49-F238E27FC236}">
              <a16:creationId xmlns:a16="http://schemas.microsoft.com/office/drawing/2014/main" xmlns="" id="{00000000-0008-0000-0100-0000E2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83" name="TextBox 482">
          <a:extLst>
            <a:ext uri="{FF2B5EF4-FFF2-40B4-BE49-F238E27FC236}">
              <a16:creationId xmlns:a16="http://schemas.microsoft.com/office/drawing/2014/main" xmlns="" id="{00000000-0008-0000-0100-0000E3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84" name="TextBox 483">
          <a:extLst>
            <a:ext uri="{FF2B5EF4-FFF2-40B4-BE49-F238E27FC236}">
              <a16:creationId xmlns:a16="http://schemas.microsoft.com/office/drawing/2014/main" xmlns="" id="{00000000-0008-0000-0100-0000E4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85" name="TextBox 484">
          <a:extLst>
            <a:ext uri="{FF2B5EF4-FFF2-40B4-BE49-F238E27FC236}">
              <a16:creationId xmlns:a16="http://schemas.microsoft.com/office/drawing/2014/main" xmlns="" id="{00000000-0008-0000-0100-0000E5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86" name="TextBox 485">
          <a:extLst>
            <a:ext uri="{FF2B5EF4-FFF2-40B4-BE49-F238E27FC236}">
              <a16:creationId xmlns:a16="http://schemas.microsoft.com/office/drawing/2014/main" xmlns="" id="{00000000-0008-0000-0100-0000E6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87" name="TextBox 486">
          <a:extLst>
            <a:ext uri="{FF2B5EF4-FFF2-40B4-BE49-F238E27FC236}">
              <a16:creationId xmlns:a16="http://schemas.microsoft.com/office/drawing/2014/main" xmlns="" id="{00000000-0008-0000-0100-0000E7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88" name="TextBox 487">
          <a:extLst>
            <a:ext uri="{FF2B5EF4-FFF2-40B4-BE49-F238E27FC236}">
              <a16:creationId xmlns:a16="http://schemas.microsoft.com/office/drawing/2014/main" xmlns="" id="{00000000-0008-0000-0100-0000E8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89" name="TextBox 488">
          <a:extLst>
            <a:ext uri="{FF2B5EF4-FFF2-40B4-BE49-F238E27FC236}">
              <a16:creationId xmlns:a16="http://schemas.microsoft.com/office/drawing/2014/main" xmlns="" id="{00000000-0008-0000-0100-0000E9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90" name="TextBox 489">
          <a:extLst>
            <a:ext uri="{FF2B5EF4-FFF2-40B4-BE49-F238E27FC236}">
              <a16:creationId xmlns:a16="http://schemas.microsoft.com/office/drawing/2014/main" xmlns="" id="{00000000-0008-0000-0100-0000EA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xmlns="" id="{00000000-0008-0000-0100-0000EB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92" name="TextBox 491">
          <a:extLst>
            <a:ext uri="{FF2B5EF4-FFF2-40B4-BE49-F238E27FC236}">
              <a16:creationId xmlns:a16="http://schemas.microsoft.com/office/drawing/2014/main" xmlns="" id="{00000000-0008-0000-0100-0000EC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93" name="TextBox 492">
          <a:extLst>
            <a:ext uri="{FF2B5EF4-FFF2-40B4-BE49-F238E27FC236}">
              <a16:creationId xmlns:a16="http://schemas.microsoft.com/office/drawing/2014/main" xmlns="" id="{00000000-0008-0000-0100-0000ED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94" name="TextBox 493">
          <a:extLst>
            <a:ext uri="{FF2B5EF4-FFF2-40B4-BE49-F238E27FC236}">
              <a16:creationId xmlns:a16="http://schemas.microsoft.com/office/drawing/2014/main" xmlns="" id="{00000000-0008-0000-0100-0000EE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95" name="TextBox 494">
          <a:extLst>
            <a:ext uri="{FF2B5EF4-FFF2-40B4-BE49-F238E27FC236}">
              <a16:creationId xmlns:a16="http://schemas.microsoft.com/office/drawing/2014/main" xmlns="" id="{00000000-0008-0000-0100-0000EF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96" name="TextBox 495">
          <a:extLst>
            <a:ext uri="{FF2B5EF4-FFF2-40B4-BE49-F238E27FC236}">
              <a16:creationId xmlns:a16="http://schemas.microsoft.com/office/drawing/2014/main" xmlns="" id="{00000000-0008-0000-0100-0000F0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97" name="TextBox 496">
          <a:extLst>
            <a:ext uri="{FF2B5EF4-FFF2-40B4-BE49-F238E27FC236}">
              <a16:creationId xmlns:a16="http://schemas.microsoft.com/office/drawing/2014/main" xmlns="" id="{00000000-0008-0000-0100-0000F1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98" name="TextBox 497">
          <a:extLst>
            <a:ext uri="{FF2B5EF4-FFF2-40B4-BE49-F238E27FC236}">
              <a16:creationId xmlns:a16="http://schemas.microsoft.com/office/drawing/2014/main" xmlns="" id="{00000000-0008-0000-0100-0000F2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499" name="TextBox 498">
          <a:extLst>
            <a:ext uri="{FF2B5EF4-FFF2-40B4-BE49-F238E27FC236}">
              <a16:creationId xmlns:a16="http://schemas.microsoft.com/office/drawing/2014/main" xmlns="" id="{00000000-0008-0000-0100-0000F3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00" name="TextBox 499">
          <a:extLst>
            <a:ext uri="{FF2B5EF4-FFF2-40B4-BE49-F238E27FC236}">
              <a16:creationId xmlns:a16="http://schemas.microsoft.com/office/drawing/2014/main" xmlns="" id="{00000000-0008-0000-0100-0000F4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01" name="TextBox 500">
          <a:extLst>
            <a:ext uri="{FF2B5EF4-FFF2-40B4-BE49-F238E27FC236}">
              <a16:creationId xmlns:a16="http://schemas.microsoft.com/office/drawing/2014/main" xmlns="" id="{00000000-0008-0000-0100-0000F5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02" name="TextBox 501">
          <a:extLst>
            <a:ext uri="{FF2B5EF4-FFF2-40B4-BE49-F238E27FC236}">
              <a16:creationId xmlns:a16="http://schemas.microsoft.com/office/drawing/2014/main" xmlns="" id="{00000000-0008-0000-0100-0000F6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03" name="TextBox 502">
          <a:extLst>
            <a:ext uri="{FF2B5EF4-FFF2-40B4-BE49-F238E27FC236}">
              <a16:creationId xmlns:a16="http://schemas.microsoft.com/office/drawing/2014/main" xmlns="" id="{00000000-0008-0000-0100-0000F7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04" name="TextBox 503">
          <a:extLst>
            <a:ext uri="{FF2B5EF4-FFF2-40B4-BE49-F238E27FC236}">
              <a16:creationId xmlns:a16="http://schemas.microsoft.com/office/drawing/2014/main" xmlns="" id="{00000000-0008-0000-0100-0000F8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05" name="TextBox 504">
          <a:extLst>
            <a:ext uri="{FF2B5EF4-FFF2-40B4-BE49-F238E27FC236}">
              <a16:creationId xmlns:a16="http://schemas.microsoft.com/office/drawing/2014/main" xmlns="" id="{00000000-0008-0000-0100-0000F9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06" name="TextBox 505">
          <a:extLst>
            <a:ext uri="{FF2B5EF4-FFF2-40B4-BE49-F238E27FC236}">
              <a16:creationId xmlns:a16="http://schemas.microsoft.com/office/drawing/2014/main" xmlns="" id="{00000000-0008-0000-0100-0000FA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07" name="TextBox 506">
          <a:extLst>
            <a:ext uri="{FF2B5EF4-FFF2-40B4-BE49-F238E27FC236}">
              <a16:creationId xmlns:a16="http://schemas.microsoft.com/office/drawing/2014/main" xmlns="" id="{00000000-0008-0000-0100-0000FB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08" name="TextBox 507">
          <a:extLst>
            <a:ext uri="{FF2B5EF4-FFF2-40B4-BE49-F238E27FC236}">
              <a16:creationId xmlns:a16="http://schemas.microsoft.com/office/drawing/2014/main" xmlns="" id="{00000000-0008-0000-0100-0000FC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09" name="TextBox 508">
          <a:extLst>
            <a:ext uri="{FF2B5EF4-FFF2-40B4-BE49-F238E27FC236}">
              <a16:creationId xmlns:a16="http://schemas.microsoft.com/office/drawing/2014/main" xmlns="" id="{00000000-0008-0000-0100-0000FD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10" name="TextBox 509">
          <a:extLst>
            <a:ext uri="{FF2B5EF4-FFF2-40B4-BE49-F238E27FC236}">
              <a16:creationId xmlns:a16="http://schemas.microsoft.com/office/drawing/2014/main" xmlns="" id="{00000000-0008-0000-0100-0000FE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11" name="TextBox 510">
          <a:extLst>
            <a:ext uri="{FF2B5EF4-FFF2-40B4-BE49-F238E27FC236}">
              <a16:creationId xmlns:a16="http://schemas.microsoft.com/office/drawing/2014/main" xmlns="" id="{00000000-0008-0000-0100-0000FF010000}"/>
            </a:ext>
          </a:extLst>
        </xdr:cNvPr>
        <xdr:cNvSpPr txBox="1"/>
      </xdr:nvSpPr>
      <xdr:spPr>
        <a:xfrm>
          <a:off x="11328848" y="2044976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12" name="TextBox 511">
          <a:extLst>
            <a:ext uri="{FF2B5EF4-FFF2-40B4-BE49-F238E27FC236}">
              <a16:creationId xmlns:a16="http://schemas.microsoft.com/office/drawing/2014/main" xmlns="" id="{00000000-0008-0000-0100-000000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13" name="TextBox 512">
          <a:extLst>
            <a:ext uri="{FF2B5EF4-FFF2-40B4-BE49-F238E27FC236}">
              <a16:creationId xmlns:a16="http://schemas.microsoft.com/office/drawing/2014/main" xmlns="" id="{00000000-0008-0000-0100-000001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14" name="TextBox 513">
          <a:extLst>
            <a:ext uri="{FF2B5EF4-FFF2-40B4-BE49-F238E27FC236}">
              <a16:creationId xmlns:a16="http://schemas.microsoft.com/office/drawing/2014/main" xmlns="" id="{00000000-0008-0000-0100-000002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15" name="TextBox 514">
          <a:extLst>
            <a:ext uri="{FF2B5EF4-FFF2-40B4-BE49-F238E27FC236}">
              <a16:creationId xmlns:a16="http://schemas.microsoft.com/office/drawing/2014/main" xmlns="" id="{00000000-0008-0000-0100-000003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16" name="TextBox 515">
          <a:extLst>
            <a:ext uri="{FF2B5EF4-FFF2-40B4-BE49-F238E27FC236}">
              <a16:creationId xmlns:a16="http://schemas.microsoft.com/office/drawing/2014/main" xmlns="" id="{00000000-0008-0000-0100-000004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17" name="TextBox 516">
          <a:extLst>
            <a:ext uri="{FF2B5EF4-FFF2-40B4-BE49-F238E27FC236}">
              <a16:creationId xmlns:a16="http://schemas.microsoft.com/office/drawing/2014/main" xmlns="" id="{00000000-0008-0000-0100-000005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18" name="TextBox 517">
          <a:extLst>
            <a:ext uri="{FF2B5EF4-FFF2-40B4-BE49-F238E27FC236}">
              <a16:creationId xmlns:a16="http://schemas.microsoft.com/office/drawing/2014/main" xmlns="" id="{00000000-0008-0000-0100-000006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19" name="TextBox 518">
          <a:extLst>
            <a:ext uri="{FF2B5EF4-FFF2-40B4-BE49-F238E27FC236}">
              <a16:creationId xmlns:a16="http://schemas.microsoft.com/office/drawing/2014/main" xmlns="" id="{00000000-0008-0000-0100-000007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20" name="TextBox 519">
          <a:extLst>
            <a:ext uri="{FF2B5EF4-FFF2-40B4-BE49-F238E27FC236}">
              <a16:creationId xmlns:a16="http://schemas.microsoft.com/office/drawing/2014/main" xmlns="" id="{00000000-0008-0000-0100-000008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21" name="TextBox 520">
          <a:extLst>
            <a:ext uri="{FF2B5EF4-FFF2-40B4-BE49-F238E27FC236}">
              <a16:creationId xmlns:a16="http://schemas.microsoft.com/office/drawing/2014/main" xmlns="" id="{00000000-0008-0000-0100-000009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22" name="TextBox 521">
          <a:extLst>
            <a:ext uri="{FF2B5EF4-FFF2-40B4-BE49-F238E27FC236}">
              <a16:creationId xmlns:a16="http://schemas.microsoft.com/office/drawing/2014/main" xmlns="" id="{00000000-0008-0000-0100-00000A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23" name="TextBox 522">
          <a:extLst>
            <a:ext uri="{FF2B5EF4-FFF2-40B4-BE49-F238E27FC236}">
              <a16:creationId xmlns:a16="http://schemas.microsoft.com/office/drawing/2014/main" xmlns="" id="{00000000-0008-0000-0100-00000B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24" name="TextBox 523">
          <a:extLst>
            <a:ext uri="{FF2B5EF4-FFF2-40B4-BE49-F238E27FC236}">
              <a16:creationId xmlns:a16="http://schemas.microsoft.com/office/drawing/2014/main" xmlns="" id="{00000000-0008-0000-0100-00000C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25" name="TextBox 524">
          <a:extLst>
            <a:ext uri="{FF2B5EF4-FFF2-40B4-BE49-F238E27FC236}">
              <a16:creationId xmlns:a16="http://schemas.microsoft.com/office/drawing/2014/main" xmlns="" id="{00000000-0008-0000-0100-00000D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26" name="TextBox 525">
          <a:extLst>
            <a:ext uri="{FF2B5EF4-FFF2-40B4-BE49-F238E27FC236}">
              <a16:creationId xmlns:a16="http://schemas.microsoft.com/office/drawing/2014/main" xmlns="" id="{00000000-0008-0000-0100-00000E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27" name="TextBox 526">
          <a:extLst>
            <a:ext uri="{FF2B5EF4-FFF2-40B4-BE49-F238E27FC236}">
              <a16:creationId xmlns:a16="http://schemas.microsoft.com/office/drawing/2014/main" xmlns="" id="{00000000-0008-0000-0100-00000F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28" name="TextBox 527">
          <a:extLst>
            <a:ext uri="{FF2B5EF4-FFF2-40B4-BE49-F238E27FC236}">
              <a16:creationId xmlns:a16="http://schemas.microsoft.com/office/drawing/2014/main" xmlns="" id="{00000000-0008-0000-0100-000010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29" name="TextBox 528">
          <a:extLst>
            <a:ext uri="{FF2B5EF4-FFF2-40B4-BE49-F238E27FC236}">
              <a16:creationId xmlns:a16="http://schemas.microsoft.com/office/drawing/2014/main" xmlns="" id="{00000000-0008-0000-0100-000011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30" name="TextBox 529">
          <a:extLst>
            <a:ext uri="{FF2B5EF4-FFF2-40B4-BE49-F238E27FC236}">
              <a16:creationId xmlns:a16="http://schemas.microsoft.com/office/drawing/2014/main" xmlns="" id="{00000000-0008-0000-0100-000012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31" name="TextBox 530">
          <a:extLst>
            <a:ext uri="{FF2B5EF4-FFF2-40B4-BE49-F238E27FC236}">
              <a16:creationId xmlns:a16="http://schemas.microsoft.com/office/drawing/2014/main" xmlns="" id="{00000000-0008-0000-0100-000013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32" name="TextBox 531">
          <a:extLst>
            <a:ext uri="{FF2B5EF4-FFF2-40B4-BE49-F238E27FC236}">
              <a16:creationId xmlns:a16="http://schemas.microsoft.com/office/drawing/2014/main" xmlns="" id="{00000000-0008-0000-0100-000014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33" name="TextBox 532">
          <a:extLst>
            <a:ext uri="{FF2B5EF4-FFF2-40B4-BE49-F238E27FC236}">
              <a16:creationId xmlns:a16="http://schemas.microsoft.com/office/drawing/2014/main" xmlns="" id="{00000000-0008-0000-0100-000015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34" name="TextBox 533">
          <a:extLst>
            <a:ext uri="{FF2B5EF4-FFF2-40B4-BE49-F238E27FC236}">
              <a16:creationId xmlns:a16="http://schemas.microsoft.com/office/drawing/2014/main" xmlns="" id="{00000000-0008-0000-0100-000016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35" name="TextBox 534">
          <a:extLst>
            <a:ext uri="{FF2B5EF4-FFF2-40B4-BE49-F238E27FC236}">
              <a16:creationId xmlns:a16="http://schemas.microsoft.com/office/drawing/2014/main" xmlns="" id="{00000000-0008-0000-0100-000017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36" name="TextBox 535">
          <a:extLst>
            <a:ext uri="{FF2B5EF4-FFF2-40B4-BE49-F238E27FC236}">
              <a16:creationId xmlns:a16="http://schemas.microsoft.com/office/drawing/2014/main" xmlns="" id="{00000000-0008-0000-0100-000018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37" name="TextBox 536">
          <a:extLst>
            <a:ext uri="{FF2B5EF4-FFF2-40B4-BE49-F238E27FC236}">
              <a16:creationId xmlns:a16="http://schemas.microsoft.com/office/drawing/2014/main" xmlns="" id="{00000000-0008-0000-0100-000019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38" name="TextBox 537">
          <a:extLst>
            <a:ext uri="{FF2B5EF4-FFF2-40B4-BE49-F238E27FC236}">
              <a16:creationId xmlns:a16="http://schemas.microsoft.com/office/drawing/2014/main" xmlns="" id="{00000000-0008-0000-0100-00001A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39" name="TextBox 538">
          <a:extLst>
            <a:ext uri="{FF2B5EF4-FFF2-40B4-BE49-F238E27FC236}">
              <a16:creationId xmlns:a16="http://schemas.microsoft.com/office/drawing/2014/main" xmlns="" id="{00000000-0008-0000-0100-00001B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40" name="TextBox 539">
          <a:extLst>
            <a:ext uri="{FF2B5EF4-FFF2-40B4-BE49-F238E27FC236}">
              <a16:creationId xmlns:a16="http://schemas.microsoft.com/office/drawing/2014/main" xmlns="" id="{00000000-0008-0000-0100-00001C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41" name="TextBox 540">
          <a:extLst>
            <a:ext uri="{FF2B5EF4-FFF2-40B4-BE49-F238E27FC236}">
              <a16:creationId xmlns:a16="http://schemas.microsoft.com/office/drawing/2014/main" xmlns="" id="{00000000-0008-0000-0100-00001D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42" name="TextBox 541">
          <a:extLst>
            <a:ext uri="{FF2B5EF4-FFF2-40B4-BE49-F238E27FC236}">
              <a16:creationId xmlns:a16="http://schemas.microsoft.com/office/drawing/2014/main" xmlns="" id="{00000000-0008-0000-0100-00001E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43" name="TextBox 542">
          <a:extLst>
            <a:ext uri="{FF2B5EF4-FFF2-40B4-BE49-F238E27FC236}">
              <a16:creationId xmlns:a16="http://schemas.microsoft.com/office/drawing/2014/main" xmlns="" id="{00000000-0008-0000-0100-00001F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44" name="TextBox 543">
          <a:extLst>
            <a:ext uri="{FF2B5EF4-FFF2-40B4-BE49-F238E27FC236}">
              <a16:creationId xmlns:a16="http://schemas.microsoft.com/office/drawing/2014/main" xmlns="" id="{00000000-0008-0000-0100-000020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45" name="TextBox 544">
          <a:extLst>
            <a:ext uri="{FF2B5EF4-FFF2-40B4-BE49-F238E27FC236}">
              <a16:creationId xmlns:a16="http://schemas.microsoft.com/office/drawing/2014/main" xmlns="" id="{00000000-0008-0000-0100-000021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46" name="TextBox 545">
          <a:extLst>
            <a:ext uri="{FF2B5EF4-FFF2-40B4-BE49-F238E27FC236}">
              <a16:creationId xmlns:a16="http://schemas.microsoft.com/office/drawing/2014/main" xmlns="" id="{00000000-0008-0000-0100-000022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47" name="TextBox 546">
          <a:extLst>
            <a:ext uri="{FF2B5EF4-FFF2-40B4-BE49-F238E27FC236}">
              <a16:creationId xmlns:a16="http://schemas.microsoft.com/office/drawing/2014/main" xmlns="" id="{00000000-0008-0000-0100-000023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48" name="TextBox 547">
          <a:extLst>
            <a:ext uri="{FF2B5EF4-FFF2-40B4-BE49-F238E27FC236}">
              <a16:creationId xmlns:a16="http://schemas.microsoft.com/office/drawing/2014/main" xmlns="" id="{00000000-0008-0000-0100-000024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49" name="TextBox 548">
          <a:extLst>
            <a:ext uri="{FF2B5EF4-FFF2-40B4-BE49-F238E27FC236}">
              <a16:creationId xmlns:a16="http://schemas.microsoft.com/office/drawing/2014/main" xmlns="" id="{00000000-0008-0000-0100-000025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50" name="TextBox 549">
          <a:extLst>
            <a:ext uri="{FF2B5EF4-FFF2-40B4-BE49-F238E27FC236}">
              <a16:creationId xmlns:a16="http://schemas.microsoft.com/office/drawing/2014/main" xmlns="" id="{00000000-0008-0000-0100-000026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51" name="TextBox 550">
          <a:extLst>
            <a:ext uri="{FF2B5EF4-FFF2-40B4-BE49-F238E27FC236}">
              <a16:creationId xmlns:a16="http://schemas.microsoft.com/office/drawing/2014/main" xmlns="" id="{00000000-0008-0000-0100-000027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52" name="TextBox 551">
          <a:extLst>
            <a:ext uri="{FF2B5EF4-FFF2-40B4-BE49-F238E27FC236}">
              <a16:creationId xmlns:a16="http://schemas.microsoft.com/office/drawing/2014/main" xmlns="" id="{00000000-0008-0000-0100-000028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53" name="TextBox 552">
          <a:extLst>
            <a:ext uri="{FF2B5EF4-FFF2-40B4-BE49-F238E27FC236}">
              <a16:creationId xmlns:a16="http://schemas.microsoft.com/office/drawing/2014/main" xmlns="" id="{00000000-0008-0000-0100-000029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54" name="TextBox 553">
          <a:extLst>
            <a:ext uri="{FF2B5EF4-FFF2-40B4-BE49-F238E27FC236}">
              <a16:creationId xmlns:a16="http://schemas.microsoft.com/office/drawing/2014/main" xmlns="" id="{00000000-0008-0000-0100-00002A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55" name="TextBox 554">
          <a:extLst>
            <a:ext uri="{FF2B5EF4-FFF2-40B4-BE49-F238E27FC236}">
              <a16:creationId xmlns:a16="http://schemas.microsoft.com/office/drawing/2014/main" xmlns="" id="{00000000-0008-0000-0100-00002B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56" name="TextBox 555">
          <a:extLst>
            <a:ext uri="{FF2B5EF4-FFF2-40B4-BE49-F238E27FC236}">
              <a16:creationId xmlns:a16="http://schemas.microsoft.com/office/drawing/2014/main" xmlns="" id="{00000000-0008-0000-0100-00002C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57" name="TextBox 556">
          <a:extLst>
            <a:ext uri="{FF2B5EF4-FFF2-40B4-BE49-F238E27FC236}">
              <a16:creationId xmlns:a16="http://schemas.microsoft.com/office/drawing/2014/main" xmlns="" id="{00000000-0008-0000-0100-00002D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58" name="TextBox 557">
          <a:extLst>
            <a:ext uri="{FF2B5EF4-FFF2-40B4-BE49-F238E27FC236}">
              <a16:creationId xmlns:a16="http://schemas.microsoft.com/office/drawing/2014/main" xmlns="" id="{00000000-0008-0000-0100-00002E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59" name="TextBox 558">
          <a:extLst>
            <a:ext uri="{FF2B5EF4-FFF2-40B4-BE49-F238E27FC236}">
              <a16:creationId xmlns:a16="http://schemas.microsoft.com/office/drawing/2014/main" xmlns="" id="{00000000-0008-0000-0100-00002F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60" name="TextBox 559">
          <a:extLst>
            <a:ext uri="{FF2B5EF4-FFF2-40B4-BE49-F238E27FC236}">
              <a16:creationId xmlns:a16="http://schemas.microsoft.com/office/drawing/2014/main" xmlns="" id="{00000000-0008-0000-0100-000030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61" name="TextBox 560">
          <a:extLst>
            <a:ext uri="{FF2B5EF4-FFF2-40B4-BE49-F238E27FC236}">
              <a16:creationId xmlns:a16="http://schemas.microsoft.com/office/drawing/2014/main" xmlns="" id="{00000000-0008-0000-0100-000031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62" name="TextBox 561">
          <a:extLst>
            <a:ext uri="{FF2B5EF4-FFF2-40B4-BE49-F238E27FC236}">
              <a16:creationId xmlns:a16="http://schemas.microsoft.com/office/drawing/2014/main" xmlns="" id="{00000000-0008-0000-0100-000032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63" name="TextBox 562">
          <a:extLst>
            <a:ext uri="{FF2B5EF4-FFF2-40B4-BE49-F238E27FC236}">
              <a16:creationId xmlns:a16="http://schemas.microsoft.com/office/drawing/2014/main" xmlns="" id="{00000000-0008-0000-0100-000033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64" name="TextBox 563">
          <a:extLst>
            <a:ext uri="{FF2B5EF4-FFF2-40B4-BE49-F238E27FC236}">
              <a16:creationId xmlns:a16="http://schemas.microsoft.com/office/drawing/2014/main" xmlns="" id="{00000000-0008-0000-0100-000034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65" name="TextBox 564">
          <a:extLst>
            <a:ext uri="{FF2B5EF4-FFF2-40B4-BE49-F238E27FC236}">
              <a16:creationId xmlns:a16="http://schemas.microsoft.com/office/drawing/2014/main" xmlns="" id="{00000000-0008-0000-0100-000035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66" name="TextBox 565">
          <a:extLst>
            <a:ext uri="{FF2B5EF4-FFF2-40B4-BE49-F238E27FC236}">
              <a16:creationId xmlns:a16="http://schemas.microsoft.com/office/drawing/2014/main" xmlns="" id="{00000000-0008-0000-0100-000036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67" name="TextBox 566">
          <a:extLst>
            <a:ext uri="{FF2B5EF4-FFF2-40B4-BE49-F238E27FC236}">
              <a16:creationId xmlns:a16="http://schemas.microsoft.com/office/drawing/2014/main" xmlns="" id="{00000000-0008-0000-0100-000037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68" name="TextBox 567">
          <a:extLst>
            <a:ext uri="{FF2B5EF4-FFF2-40B4-BE49-F238E27FC236}">
              <a16:creationId xmlns:a16="http://schemas.microsoft.com/office/drawing/2014/main" xmlns="" id="{00000000-0008-0000-0100-000038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69" name="TextBox 568">
          <a:extLst>
            <a:ext uri="{FF2B5EF4-FFF2-40B4-BE49-F238E27FC236}">
              <a16:creationId xmlns:a16="http://schemas.microsoft.com/office/drawing/2014/main" xmlns="" id="{00000000-0008-0000-0100-000039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70" name="TextBox 569">
          <a:extLst>
            <a:ext uri="{FF2B5EF4-FFF2-40B4-BE49-F238E27FC236}">
              <a16:creationId xmlns:a16="http://schemas.microsoft.com/office/drawing/2014/main" xmlns="" id="{00000000-0008-0000-0100-00003A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71" name="TextBox 570">
          <a:extLst>
            <a:ext uri="{FF2B5EF4-FFF2-40B4-BE49-F238E27FC236}">
              <a16:creationId xmlns:a16="http://schemas.microsoft.com/office/drawing/2014/main" xmlns="" id="{00000000-0008-0000-0100-00003B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72" name="TextBox 571">
          <a:extLst>
            <a:ext uri="{FF2B5EF4-FFF2-40B4-BE49-F238E27FC236}">
              <a16:creationId xmlns:a16="http://schemas.microsoft.com/office/drawing/2014/main" xmlns="" id="{00000000-0008-0000-0100-00003C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73" name="TextBox 572">
          <a:extLst>
            <a:ext uri="{FF2B5EF4-FFF2-40B4-BE49-F238E27FC236}">
              <a16:creationId xmlns:a16="http://schemas.microsoft.com/office/drawing/2014/main" xmlns="" id="{00000000-0008-0000-0100-00003D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74" name="TextBox 573">
          <a:extLst>
            <a:ext uri="{FF2B5EF4-FFF2-40B4-BE49-F238E27FC236}">
              <a16:creationId xmlns:a16="http://schemas.microsoft.com/office/drawing/2014/main" xmlns="" id="{00000000-0008-0000-0100-00003E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75" name="TextBox 574">
          <a:extLst>
            <a:ext uri="{FF2B5EF4-FFF2-40B4-BE49-F238E27FC236}">
              <a16:creationId xmlns:a16="http://schemas.microsoft.com/office/drawing/2014/main" xmlns="" id="{00000000-0008-0000-0100-00003F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76" name="TextBox 575">
          <a:extLst>
            <a:ext uri="{FF2B5EF4-FFF2-40B4-BE49-F238E27FC236}">
              <a16:creationId xmlns:a16="http://schemas.microsoft.com/office/drawing/2014/main" xmlns="" id="{00000000-0008-0000-0100-000040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77" name="TextBox 576">
          <a:extLst>
            <a:ext uri="{FF2B5EF4-FFF2-40B4-BE49-F238E27FC236}">
              <a16:creationId xmlns:a16="http://schemas.microsoft.com/office/drawing/2014/main" xmlns="" id="{00000000-0008-0000-0100-000041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78" name="TextBox 577">
          <a:extLst>
            <a:ext uri="{FF2B5EF4-FFF2-40B4-BE49-F238E27FC236}">
              <a16:creationId xmlns:a16="http://schemas.microsoft.com/office/drawing/2014/main" xmlns="" id="{00000000-0008-0000-0100-000042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79" name="TextBox 578">
          <a:extLst>
            <a:ext uri="{FF2B5EF4-FFF2-40B4-BE49-F238E27FC236}">
              <a16:creationId xmlns:a16="http://schemas.microsoft.com/office/drawing/2014/main" xmlns="" id="{00000000-0008-0000-0100-000043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80" name="TextBox 579">
          <a:extLst>
            <a:ext uri="{FF2B5EF4-FFF2-40B4-BE49-F238E27FC236}">
              <a16:creationId xmlns:a16="http://schemas.microsoft.com/office/drawing/2014/main" xmlns="" id="{00000000-0008-0000-0100-000044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81" name="TextBox 580">
          <a:extLst>
            <a:ext uri="{FF2B5EF4-FFF2-40B4-BE49-F238E27FC236}">
              <a16:creationId xmlns:a16="http://schemas.microsoft.com/office/drawing/2014/main" xmlns="" id="{00000000-0008-0000-0100-000045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82" name="TextBox 581">
          <a:extLst>
            <a:ext uri="{FF2B5EF4-FFF2-40B4-BE49-F238E27FC236}">
              <a16:creationId xmlns:a16="http://schemas.microsoft.com/office/drawing/2014/main" xmlns="" id="{00000000-0008-0000-0100-000046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83" name="TextBox 582">
          <a:extLst>
            <a:ext uri="{FF2B5EF4-FFF2-40B4-BE49-F238E27FC236}">
              <a16:creationId xmlns:a16="http://schemas.microsoft.com/office/drawing/2014/main" xmlns="" id="{00000000-0008-0000-0100-000047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84" name="TextBox 583">
          <a:extLst>
            <a:ext uri="{FF2B5EF4-FFF2-40B4-BE49-F238E27FC236}">
              <a16:creationId xmlns:a16="http://schemas.microsoft.com/office/drawing/2014/main" xmlns="" id="{00000000-0008-0000-0100-000048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85" name="TextBox 584">
          <a:extLst>
            <a:ext uri="{FF2B5EF4-FFF2-40B4-BE49-F238E27FC236}">
              <a16:creationId xmlns:a16="http://schemas.microsoft.com/office/drawing/2014/main" xmlns="" id="{00000000-0008-0000-0100-000049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86" name="TextBox 585">
          <a:extLst>
            <a:ext uri="{FF2B5EF4-FFF2-40B4-BE49-F238E27FC236}">
              <a16:creationId xmlns:a16="http://schemas.microsoft.com/office/drawing/2014/main" xmlns="" id="{00000000-0008-0000-0100-00004A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87" name="TextBox 586">
          <a:extLst>
            <a:ext uri="{FF2B5EF4-FFF2-40B4-BE49-F238E27FC236}">
              <a16:creationId xmlns:a16="http://schemas.microsoft.com/office/drawing/2014/main" xmlns="" id="{00000000-0008-0000-0100-00004B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88" name="TextBox 587">
          <a:extLst>
            <a:ext uri="{FF2B5EF4-FFF2-40B4-BE49-F238E27FC236}">
              <a16:creationId xmlns:a16="http://schemas.microsoft.com/office/drawing/2014/main" xmlns="" id="{00000000-0008-0000-0100-00004C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89" name="TextBox 588">
          <a:extLst>
            <a:ext uri="{FF2B5EF4-FFF2-40B4-BE49-F238E27FC236}">
              <a16:creationId xmlns:a16="http://schemas.microsoft.com/office/drawing/2014/main" xmlns="" id="{00000000-0008-0000-0100-00004D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90" name="TextBox 589">
          <a:extLst>
            <a:ext uri="{FF2B5EF4-FFF2-40B4-BE49-F238E27FC236}">
              <a16:creationId xmlns:a16="http://schemas.microsoft.com/office/drawing/2014/main" xmlns="" id="{00000000-0008-0000-0100-00004E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91" name="TextBox 590">
          <a:extLst>
            <a:ext uri="{FF2B5EF4-FFF2-40B4-BE49-F238E27FC236}">
              <a16:creationId xmlns:a16="http://schemas.microsoft.com/office/drawing/2014/main" xmlns="" id="{00000000-0008-0000-0100-00004F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92" name="TextBox 591">
          <a:extLst>
            <a:ext uri="{FF2B5EF4-FFF2-40B4-BE49-F238E27FC236}">
              <a16:creationId xmlns:a16="http://schemas.microsoft.com/office/drawing/2014/main" xmlns="" id="{00000000-0008-0000-0100-000050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93" name="TextBox 592">
          <a:extLst>
            <a:ext uri="{FF2B5EF4-FFF2-40B4-BE49-F238E27FC236}">
              <a16:creationId xmlns:a16="http://schemas.microsoft.com/office/drawing/2014/main" xmlns="" id="{00000000-0008-0000-0100-000051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94" name="TextBox 593">
          <a:extLst>
            <a:ext uri="{FF2B5EF4-FFF2-40B4-BE49-F238E27FC236}">
              <a16:creationId xmlns:a16="http://schemas.microsoft.com/office/drawing/2014/main" xmlns="" id="{00000000-0008-0000-0100-000052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95" name="TextBox 594">
          <a:extLst>
            <a:ext uri="{FF2B5EF4-FFF2-40B4-BE49-F238E27FC236}">
              <a16:creationId xmlns:a16="http://schemas.microsoft.com/office/drawing/2014/main" xmlns="" id="{00000000-0008-0000-0100-000053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96" name="TextBox 595">
          <a:extLst>
            <a:ext uri="{FF2B5EF4-FFF2-40B4-BE49-F238E27FC236}">
              <a16:creationId xmlns:a16="http://schemas.microsoft.com/office/drawing/2014/main" xmlns="" id="{00000000-0008-0000-0100-000054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97" name="TextBox 596">
          <a:extLst>
            <a:ext uri="{FF2B5EF4-FFF2-40B4-BE49-F238E27FC236}">
              <a16:creationId xmlns:a16="http://schemas.microsoft.com/office/drawing/2014/main" xmlns="" id="{00000000-0008-0000-0100-000055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98" name="TextBox 597">
          <a:extLst>
            <a:ext uri="{FF2B5EF4-FFF2-40B4-BE49-F238E27FC236}">
              <a16:creationId xmlns:a16="http://schemas.microsoft.com/office/drawing/2014/main" xmlns="" id="{00000000-0008-0000-0100-000056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599" name="TextBox 598">
          <a:extLst>
            <a:ext uri="{FF2B5EF4-FFF2-40B4-BE49-F238E27FC236}">
              <a16:creationId xmlns:a16="http://schemas.microsoft.com/office/drawing/2014/main" xmlns="" id="{00000000-0008-0000-0100-000057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00" name="TextBox 599">
          <a:extLst>
            <a:ext uri="{FF2B5EF4-FFF2-40B4-BE49-F238E27FC236}">
              <a16:creationId xmlns:a16="http://schemas.microsoft.com/office/drawing/2014/main" xmlns="" id="{00000000-0008-0000-0100-000058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xmlns="" id="{00000000-0008-0000-0100-000059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02" name="TextBox 601">
          <a:extLst>
            <a:ext uri="{FF2B5EF4-FFF2-40B4-BE49-F238E27FC236}">
              <a16:creationId xmlns:a16="http://schemas.microsoft.com/office/drawing/2014/main" xmlns="" id="{00000000-0008-0000-0100-00005A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03" name="TextBox 602">
          <a:extLst>
            <a:ext uri="{FF2B5EF4-FFF2-40B4-BE49-F238E27FC236}">
              <a16:creationId xmlns:a16="http://schemas.microsoft.com/office/drawing/2014/main" xmlns="" id="{00000000-0008-0000-0100-00005B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04" name="TextBox 603">
          <a:extLst>
            <a:ext uri="{FF2B5EF4-FFF2-40B4-BE49-F238E27FC236}">
              <a16:creationId xmlns:a16="http://schemas.microsoft.com/office/drawing/2014/main" xmlns="" id="{00000000-0008-0000-0100-00005C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05" name="TextBox 604">
          <a:extLst>
            <a:ext uri="{FF2B5EF4-FFF2-40B4-BE49-F238E27FC236}">
              <a16:creationId xmlns:a16="http://schemas.microsoft.com/office/drawing/2014/main" xmlns="" id="{00000000-0008-0000-0100-00005D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06" name="TextBox 605">
          <a:extLst>
            <a:ext uri="{FF2B5EF4-FFF2-40B4-BE49-F238E27FC236}">
              <a16:creationId xmlns:a16="http://schemas.microsoft.com/office/drawing/2014/main" xmlns="" id="{00000000-0008-0000-0100-00005E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07" name="TextBox 606">
          <a:extLst>
            <a:ext uri="{FF2B5EF4-FFF2-40B4-BE49-F238E27FC236}">
              <a16:creationId xmlns:a16="http://schemas.microsoft.com/office/drawing/2014/main" xmlns="" id="{00000000-0008-0000-0100-00005F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08" name="TextBox 607">
          <a:extLst>
            <a:ext uri="{FF2B5EF4-FFF2-40B4-BE49-F238E27FC236}">
              <a16:creationId xmlns:a16="http://schemas.microsoft.com/office/drawing/2014/main" xmlns="" id="{00000000-0008-0000-0100-000060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09" name="TextBox 608">
          <a:extLst>
            <a:ext uri="{FF2B5EF4-FFF2-40B4-BE49-F238E27FC236}">
              <a16:creationId xmlns:a16="http://schemas.microsoft.com/office/drawing/2014/main" xmlns="" id="{00000000-0008-0000-0100-000061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10" name="TextBox 609">
          <a:extLst>
            <a:ext uri="{FF2B5EF4-FFF2-40B4-BE49-F238E27FC236}">
              <a16:creationId xmlns:a16="http://schemas.microsoft.com/office/drawing/2014/main" xmlns="" id="{00000000-0008-0000-0100-000062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11" name="TextBox 610">
          <a:extLst>
            <a:ext uri="{FF2B5EF4-FFF2-40B4-BE49-F238E27FC236}">
              <a16:creationId xmlns:a16="http://schemas.microsoft.com/office/drawing/2014/main" xmlns="" id="{00000000-0008-0000-0100-000063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12" name="TextBox 611">
          <a:extLst>
            <a:ext uri="{FF2B5EF4-FFF2-40B4-BE49-F238E27FC236}">
              <a16:creationId xmlns:a16="http://schemas.microsoft.com/office/drawing/2014/main" xmlns="" id="{00000000-0008-0000-0100-000064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13" name="TextBox 612">
          <a:extLst>
            <a:ext uri="{FF2B5EF4-FFF2-40B4-BE49-F238E27FC236}">
              <a16:creationId xmlns:a16="http://schemas.microsoft.com/office/drawing/2014/main" xmlns="" id="{00000000-0008-0000-0100-000065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14" name="TextBox 613">
          <a:extLst>
            <a:ext uri="{FF2B5EF4-FFF2-40B4-BE49-F238E27FC236}">
              <a16:creationId xmlns:a16="http://schemas.microsoft.com/office/drawing/2014/main" xmlns="" id="{00000000-0008-0000-0100-000066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15" name="TextBox 614">
          <a:extLst>
            <a:ext uri="{FF2B5EF4-FFF2-40B4-BE49-F238E27FC236}">
              <a16:creationId xmlns:a16="http://schemas.microsoft.com/office/drawing/2014/main" xmlns="" id="{00000000-0008-0000-0100-000067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16" name="TextBox 615">
          <a:extLst>
            <a:ext uri="{FF2B5EF4-FFF2-40B4-BE49-F238E27FC236}">
              <a16:creationId xmlns:a16="http://schemas.microsoft.com/office/drawing/2014/main" xmlns="" id="{00000000-0008-0000-0100-000068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17" name="TextBox 616">
          <a:extLst>
            <a:ext uri="{FF2B5EF4-FFF2-40B4-BE49-F238E27FC236}">
              <a16:creationId xmlns:a16="http://schemas.microsoft.com/office/drawing/2014/main" xmlns="" id="{00000000-0008-0000-0100-000069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xmlns="" id="{00000000-0008-0000-0100-00006A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19" name="TextBox 618">
          <a:extLst>
            <a:ext uri="{FF2B5EF4-FFF2-40B4-BE49-F238E27FC236}">
              <a16:creationId xmlns:a16="http://schemas.microsoft.com/office/drawing/2014/main" xmlns="" id="{00000000-0008-0000-0100-00006B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20" name="TextBox 619">
          <a:extLst>
            <a:ext uri="{FF2B5EF4-FFF2-40B4-BE49-F238E27FC236}">
              <a16:creationId xmlns:a16="http://schemas.microsoft.com/office/drawing/2014/main" xmlns="" id="{00000000-0008-0000-0100-00006C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21" name="TextBox 620">
          <a:extLst>
            <a:ext uri="{FF2B5EF4-FFF2-40B4-BE49-F238E27FC236}">
              <a16:creationId xmlns:a16="http://schemas.microsoft.com/office/drawing/2014/main" xmlns="" id="{00000000-0008-0000-0100-00006D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22" name="TextBox 621">
          <a:extLst>
            <a:ext uri="{FF2B5EF4-FFF2-40B4-BE49-F238E27FC236}">
              <a16:creationId xmlns:a16="http://schemas.microsoft.com/office/drawing/2014/main" xmlns="" id="{00000000-0008-0000-0100-00006E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23" name="TextBox 622">
          <a:extLst>
            <a:ext uri="{FF2B5EF4-FFF2-40B4-BE49-F238E27FC236}">
              <a16:creationId xmlns:a16="http://schemas.microsoft.com/office/drawing/2014/main" xmlns="" id="{00000000-0008-0000-0100-00006F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24" name="TextBox 623">
          <a:extLst>
            <a:ext uri="{FF2B5EF4-FFF2-40B4-BE49-F238E27FC236}">
              <a16:creationId xmlns:a16="http://schemas.microsoft.com/office/drawing/2014/main" xmlns="" id="{00000000-0008-0000-0100-000070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25" name="TextBox 624">
          <a:extLst>
            <a:ext uri="{FF2B5EF4-FFF2-40B4-BE49-F238E27FC236}">
              <a16:creationId xmlns:a16="http://schemas.microsoft.com/office/drawing/2014/main" xmlns="" id="{00000000-0008-0000-0100-000071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26" name="TextBox 625">
          <a:extLst>
            <a:ext uri="{FF2B5EF4-FFF2-40B4-BE49-F238E27FC236}">
              <a16:creationId xmlns:a16="http://schemas.microsoft.com/office/drawing/2014/main" xmlns="" id="{00000000-0008-0000-0100-000072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27" name="TextBox 626">
          <a:extLst>
            <a:ext uri="{FF2B5EF4-FFF2-40B4-BE49-F238E27FC236}">
              <a16:creationId xmlns:a16="http://schemas.microsoft.com/office/drawing/2014/main" xmlns="" id="{00000000-0008-0000-0100-000073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28" name="TextBox 627">
          <a:extLst>
            <a:ext uri="{FF2B5EF4-FFF2-40B4-BE49-F238E27FC236}">
              <a16:creationId xmlns:a16="http://schemas.microsoft.com/office/drawing/2014/main" xmlns="" id="{00000000-0008-0000-0100-000074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29" name="TextBox 628">
          <a:extLst>
            <a:ext uri="{FF2B5EF4-FFF2-40B4-BE49-F238E27FC236}">
              <a16:creationId xmlns:a16="http://schemas.microsoft.com/office/drawing/2014/main" xmlns="" id="{00000000-0008-0000-0100-000075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30" name="TextBox 629">
          <a:extLst>
            <a:ext uri="{FF2B5EF4-FFF2-40B4-BE49-F238E27FC236}">
              <a16:creationId xmlns:a16="http://schemas.microsoft.com/office/drawing/2014/main" xmlns="" id="{00000000-0008-0000-0100-000076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31" name="TextBox 630">
          <a:extLst>
            <a:ext uri="{FF2B5EF4-FFF2-40B4-BE49-F238E27FC236}">
              <a16:creationId xmlns:a16="http://schemas.microsoft.com/office/drawing/2014/main" xmlns="" id="{00000000-0008-0000-0100-000077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32" name="TextBox 631">
          <a:extLst>
            <a:ext uri="{FF2B5EF4-FFF2-40B4-BE49-F238E27FC236}">
              <a16:creationId xmlns:a16="http://schemas.microsoft.com/office/drawing/2014/main" xmlns="" id="{00000000-0008-0000-0100-000078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33" name="TextBox 632">
          <a:extLst>
            <a:ext uri="{FF2B5EF4-FFF2-40B4-BE49-F238E27FC236}">
              <a16:creationId xmlns:a16="http://schemas.microsoft.com/office/drawing/2014/main" xmlns="" id="{00000000-0008-0000-0100-000079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34" name="TextBox 633">
          <a:extLst>
            <a:ext uri="{FF2B5EF4-FFF2-40B4-BE49-F238E27FC236}">
              <a16:creationId xmlns:a16="http://schemas.microsoft.com/office/drawing/2014/main" xmlns="" id="{00000000-0008-0000-0100-00007A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35" name="TextBox 634">
          <a:extLst>
            <a:ext uri="{FF2B5EF4-FFF2-40B4-BE49-F238E27FC236}">
              <a16:creationId xmlns:a16="http://schemas.microsoft.com/office/drawing/2014/main" xmlns="" id="{00000000-0008-0000-0100-00007B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36" name="TextBox 635">
          <a:extLst>
            <a:ext uri="{FF2B5EF4-FFF2-40B4-BE49-F238E27FC236}">
              <a16:creationId xmlns:a16="http://schemas.microsoft.com/office/drawing/2014/main" xmlns="" id="{00000000-0008-0000-0100-00007C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37" name="TextBox 636">
          <a:extLst>
            <a:ext uri="{FF2B5EF4-FFF2-40B4-BE49-F238E27FC236}">
              <a16:creationId xmlns:a16="http://schemas.microsoft.com/office/drawing/2014/main" xmlns="" id="{00000000-0008-0000-0100-00007D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38" name="TextBox 637">
          <a:extLst>
            <a:ext uri="{FF2B5EF4-FFF2-40B4-BE49-F238E27FC236}">
              <a16:creationId xmlns:a16="http://schemas.microsoft.com/office/drawing/2014/main" xmlns="" id="{00000000-0008-0000-0100-00007E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39" name="TextBox 638">
          <a:extLst>
            <a:ext uri="{FF2B5EF4-FFF2-40B4-BE49-F238E27FC236}">
              <a16:creationId xmlns:a16="http://schemas.microsoft.com/office/drawing/2014/main" xmlns="" id="{00000000-0008-0000-0100-00007F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40" name="TextBox 639">
          <a:extLst>
            <a:ext uri="{FF2B5EF4-FFF2-40B4-BE49-F238E27FC236}">
              <a16:creationId xmlns:a16="http://schemas.microsoft.com/office/drawing/2014/main" xmlns="" id="{00000000-0008-0000-0100-000080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41" name="TextBox 640">
          <a:extLst>
            <a:ext uri="{FF2B5EF4-FFF2-40B4-BE49-F238E27FC236}">
              <a16:creationId xmlns:a16="http://schemas.microsoft.com/office/drawing/2014/main" xmlns="" id="{00000000-0008-0000-0100-000081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42" name="TextBox 641">
          <a:extLst>
            <a:ext uri="{FF2B5EF4-FFF2-40B4-BE49-F238E27FC236}">
              <a16:creationId xmlns:a16="http://schemas.microsoft.com/office/drawing/2014/main" xmlns="" id="{00000000-0008-0000-0100-000082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43" name="TextBox 642">
          <a:extLst>
            <a:ext uri="{FF2B5EF4-FFF2-40B4-BE49-F238E27FC236}">
              <a16:creationId xmlns:a16="http://schemas.microsoft.com/office/drawing/2014/main" xmlns="" id="{00000000-0008-0000-0100-000083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44" name="TextBox 643">
          <a:extLst>
            <a:ext uri="{FF2B5EF4-FFF2-40B4-BE49-F238E27FC236}">
              <a16:creationId xmlns:a16="http://schemas.microsoft.com/office/drawing/2014/main" xmlns="" id="{00000000-0008-0000-0100-000084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45" name="TextBox 644">
          <a:extLst>
            <a:ext uri="{FF2B5EF4-FFF2-40B4-BE49-F238E27FC236}">
              <a16:creationId xmlns:a16="http://schemas.microsoft.com/office/drawing/2014/main" xmlns="" id="{00000000-0008-0000-0100-000085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46" name="TextBox 645">
          <a:extLst>
            <a:ext uri="{FF2B5EF4-FFF2-40B4-BE49-F238E27FC236}">
              <a16:creationId xmlns:a16="http://schemas.microsoft.com/office/drawing/2014/main" xmlns="" id="{00000000-0008-0000-0100-000086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47" name="TextBox 646">
          <a:extLst>
            <a:ext uri="{FF2B5EF4-FFF2-40B4-BE49-F238E27FC236}">
              <a16:creationId xmlns:a16="http://schemas.microsoft.com/office/drawing/2014/main" xmlns="" id="{00000000-0008-0000-0100-000087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48" name="TextBox 647">
          <a:extLst>
            <a:ext uri="{FF2B5EF4-FFF2-40B4-BE49-F238E27FC236}">
              <a16:creationId xmlns:a16="http://schemas.microsoft.com/office/drawing/2014/main" xmlns="" id="{00000000-0008-0000-0100-000088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49" name="TextBox 648">
          <a:extLst>
            <a:ext uri="{FF2B5EF4-FFF2-40B4-BE49-F238E27FC236}">
              <a16:creationId xmlns:a16="http://schemas.microsoft.com/office/drawing/2014/main" xmlns="" id="{00000000-0008-0000-0100-000089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50" name="TextBox 649">
          <a:extLst>
            <a:ext uri="{FF2B5EF4-FFF2-40B4-BE49-F238E27FC236}">
              <a16:creationId xmlns:a16="http://schemas.microsoft.com/office/drawing/2014/main" xmlns="" id="{00000000-0008-0000-0100-00008A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51" name="TextBox 650">
          <a:extLst>
            <a:ext uri="{FF2B5EF4-FFF2-40B4-BE49-F238E27FC236}">
              <a16:creationId xmlns:a16="http://schemas.microsoft.com/office/drawing/2014/main" xmlns="" id="{00000000-0008-0000-0100-00008B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52" name="TextBox 651">
          <a:extLst>
            <a:ext uri="{FF2B5EF4-FFF2-40B4-BE49-F238E27FC236}">
              <a16:creationId xmlns:a16="http://schemas.microsoft.com/office/drawing/2014/main" xmlns="" id="{00000000-0008-0000-0100-00008C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53" name="TextBox 652">
          <a:extLst>
            <a:ext uri="{FF2B5EF4-FFF2-40B4-BE49-F238E27FC236}">
              <a16:creationId xmlns:a16="http://schemas.microsoft.com/office/drawing/2014/main" xmlns="" id="{00000000-0008-0000-0100-00008D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54" name="TextBox 653">
          <a:extLst>
            <a:ext uri="{FF2B5EF4-FFF2-40B4-BE49-F238E27FC236}">
              <a16:creationId xmlns:a16="http://schemas.microsoft.com/office/drawing/2014/main" xmlns="" id="{00000000-0008-0000-0100-00008E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55" name="TextBox 654">
          <a:extLst>
            <a:ext uri="{FF2B5EF4-FFF2-40B4-BE49-F238E27FC236}">
              <a16:creationId xmlns:a16="http://schemas.microsoft.com/office/drawing/2014/main" xmlns="" id="{00000000-0008-0000-0100-00008F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56" name="TextBox 655">
          <a:extLst>
            <a:ext uri="{FF2B5EF4-FFF2-40B4-BE49-F238E27FC236}">
              <a16:creationId xmlns:a16="http://schemas.microsoft.com/office/drawing/2014/main" xmlns="" id="{00000000-0008-0000-0100-000090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57" name="TextBox 656">
          <a:extLst>
            <a:ext uri="{FF2B5EF4-FFF2-40B4-BE49-F238E27FC236}">
              <a16:creationId xmlns:a16="http://schemas.microsoft.com/office/drawing/2014/main" xmlns="" id="{00000000-0008-0000-0100-000091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58" name="TextBox 657">
          <a:extLst>
            <a:ext uri="{FF2B5EF4-FFF2-40B4-BE49-F238E27FC236}">
              <a16:creationId xmlns:a16="http://schemas.microsoft.com/office/drawing/2014/main" xmlns="" id="{00000000-0008-0000-0100-000092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59" name="TextBox 658">
          <a:extLst>
            <a:ext uri="{FF2B5EF4-FFF2-40B4-BE49-F238E27FC236}">
              <a16:creationId xmlns:a16="http://schemas.microsoft.com/office/drawing/2014/main" xmlns="" id="{00000000-0008-0000-0100-000093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60" name="TextBox 659">
          <a:extLst>
            <a:ext uri="{FF2B5EF4-FFF2-40B4-BE49-F238E27FC236}">
              <a16:creationId xmlns:a16="http://schemas.microsoft.com/office/drawing/2014/main" xmlns="" id="{00000000-0008-0000-0100-000094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61" name="TextBox 660">
          <a:extLst>
            <a:ext uri="{FF2B5EF4-FFF2-40B4-BE49-F238E27FC236}">
              <a16:creationId xmlns:a16="http://schemas.microsoft.com/office/drawing/2014/main" xmlns="" id="{00000000-0008-0000-0100-000095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62" name="TextBox 661">
          <a:extLst>
            <a:ext uri="{FF2B5EF4-FFF2-40B4-BE49-F238E27FC236}">
              <a16:creationId xmlns:a16="http://schemas.microsoft.com/office/drawing/2014/main" xmlns="" id="{00000000-0008-0000-0100-000096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63" name="TextBox 662">
          <a:extLst>
            <a:ext uri="{FF2B5EF4-FFF2-40B4-BE49-F238E27FC236}">
              <a16:creationId xmlns:a16="http://schemas.microsoft.com/office/drawing/2014/main" xmlns="" id="{00000000-0008-0000-0100-000097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64" name="TextBox 663">
          <a:extLst>
            <a:ext uri="{FF2B5EF4-FFF2-40B4-BE49-F238E27FC236}">
              <a16:creationId xmlns:a16="http://schemas.microsoft.com/office/drawing/2014/main" xmlns="" id="{00000000-0008-0000-0100-000098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65" name="TextBox 664">
          <a:extLst>
            <a:ext uri="{FF2B5EF4-FFF2-40B4-BE49-F238E27FC236}">
              <a16:creationId xmlns:a16="http://schemas.microsoft.com/office/drawing/2014/main" xmlns="" id="{00000000-0008-0000-0100-000099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66" name="TextBox 665">
          <a:extLst>
            <a:ext uri="{FF2B5EF4-FFF2-40B4-BE49-F238E27FC236}">
              <a16:creationId xmlns:a16="http://schemas.microsoft.com/office/drawing/2014/main" xmlns="" id="{00000000-0008-0000-0100-00009A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67" name="TextBox 666">
          <a:extLst>
            <a:ext uri="{FF2B5EF4-FFF2-40B4-BE49-F238E27FC236}">
              <a16:creationId xmlns:a16="http://schemas.microsoft.com/office/drawing/2014/main" xmlns="" id="{00000000-0008-0000-0100-00009B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68" name="TextBox 667">
          <a:extLst>
            <a:ext uri="{FF2B5EF4-FFF2-40B4-BE49-F238E27FC236}">
              <a16:creationId xmlns:a16="http://schemas.microsoft.com/office/drawing/2014/main" xmlns="" id="{00000000-0008-0000-0100-00009C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69" name="TextBox 668">
          <a:extLst>
            <a:ext uri="{FF2B5EF4-FFF2-40B4-BE49-F238E27FC236}">
              <a16:creationId xmlns:a16="http://schemas.microsoft.com/office/drawing/2014/main" xmlns="" id="{00000000-0008-0000-0100-00009D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70" name="TextBox 669">
          <a:extLst>
            <a:ext uri="{FF2B5EF4-FFF2-40B4-BE49-F238E27FC236}">
              <a16:creationId xmlns:a16="http://schemas.microsoft.com/office/drawing/2014/main" xmlns="" id="{00000000-0008-0000-0100-00009E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71" name="TextBox 670">
          <a:extLst>
            <a:ext uri="{FF2B5EF4-FFF2-40B4-BE49-F238E27FC236}">
              <a16:creationId xmlns:a16="http://schemas.microsoft.com/office/drawing/2014/main" xmlns="" id="{00000000-0008-0000-0100-00009F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72" name="TextBox 671">
          <a:extLst>
            <a:ext uri="{FF2B5EF4-FFF2-40B4-BE49-F238E27FC236}">
              <a16:creationId xmlns:a16="http://schemas.microsoft.com/office/drawing/2014/main" xmlns="" id="{00000000-0008-0000-0100-0000A0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73" name="TextBox 672">
          <a:extLst>
            <a:ext uri="{FF2B5EF4-FFF2-40B4-BE49-F238E27FC236}">
              <a16:creationId xmlns:a16="http://schemas.microsoft.com/office/drawing/2014/main" xmlns="" id="{00000000-0008-0000-0100-0000A1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74" name="TextBox 673">
          <a:extLst>
            <a:ext uri="{FF2B5EF4-FFF2-40B4-BE49-F238E27FC236}">
              <a16:creationId xmlns:a16="http://schemas.microsoft.com/office/drawing/2014/main" xmlns="" id="{00000000-0008-0000-0100-0000A2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75" name="TextBox 674">
          <a:extLst>
            <a:ext uri="{FF2B5EF4-FFF2-40B4-BE49-F238E27FC236}">
              <a16:creationId xmlns:a16="http://schemas.microsoft.com/office/drawing/2014/main" xmlns="" id="{00000000-0008-0000-0100-0000A3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76" name="TextBox 675">
          <a:extLst>
            <a:ext uri="{FF2B5EF4-FFF2-40B4-BE49-F238E27FC236}">
              <a16:creationId xmlns:a16="http://schemas.microsoft.com/office/drawing/2014/main" xmlns="" id="{00000000-0008-0000-0100-0000A4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77" name="TextBox 676">
          <a:extLst>
            <a:ext uri="{FF2B5EF4-FFF2-40B4-BE49-F238E27FC236}">
              <a16:creationId xmlns:a16="http://schemas.microsoft.com/office/drawing/2014/main" xmlns="" id="{00000000-0008-0000-0100-0000A5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78" name="TextBox 677">
          <a:extLst>
            <a:ext uri="{FF2B5EF4-FFF2-40B4-BE49-F238E27FC236}">
              <a16:creationId xmlns:a16="http://schemas.microsoft.com/office/drawing/2014/main" xmlns="" id="{00000000-0008-0000-0100-0000A6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79" name="TextBox 678">
          <a:extLst>
            <a:ext uri="{FF2B5EF4-FFF2-40B4-BE49-F238E27FC236}">
              <a16:creationId xmlns:a16="http://schemas.microsoft.com/office/drawing/2014/main" xmlns="" id="{00000000-0008-0000-0100-0000A7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80" name="TextBox 679">
          <a:extLst>
            <a:ext uri="{FF2B5EF4-FFF2-40B4-BE49-F238E27FC236}">
              <a16:creationId xmlns:a16="http://schemas.microsoft.com/office/drawing/2014/main" xmlns="" id="{00000000-0008-0000-0100-0000A8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81" name="TextBox 680">
          <a:extLst>
            <a:ext uri="{FF2B5EF4-FFF2-40B4-BE49-F238E27FC236}">
              <a16:creationId xmlns:a16="http://schemas.microsoft.com/office/drawing/2014/main" xmlns="" id="{00000000-0008-0000-0100-0000A9020000}"/>
            </a:ext>
          </a:extLst>
        </xdr:cNvPr>
        <xdr:cNvSpPr txBox="1"/>
      </xdr:nvSpPr>
      <xdr:spPr>
        <a:xfrm>
          <a:off x="11328848" y="2076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82" name="TextBox 681">
          <a:extLst>
            <a:ext uri="{FF2B5EF4-FFF2-40B4-BE49-F238E27FC236}">
              <a16:creationId xmlns:a16="http://schemas.microsoft.com/office/drawing/2014/main" xmlns="" id="{00000000-0008-0000-0100-0000AA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83" name="TextBox 682">
          <a:extLst>
            <a:ext uri="{FF2B5EF4-FFF2-40B4-BE49-F238E27FC236}">
              <a16:creationId xmlns:a16="http://schemas.microsoft.com/office/drawing/2014/main" xmlns="" id="{00000000-0008-0000-0100-0000AB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84" name="TextBox 683">
          <a:extLst>
            <a:ext uri="{FF2B5EF4-FFF2-40B4-BE49-F238E27FC236}">
              <a16:creationId xmlns:a16="http://schemas.microsoft.com/office/drawing/2014/main" xmlns="" id="{00000000-0008-0000-0100-0000AC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85" name="TextBox 684">
          <a:extLst>
            <a:ext uri="{FF2B5EF4-FFF2-40B4-BE49-F238E27FC236}">
              <a16:creationId xmlns:a16="http://schemas.microsoft.com/office/drawing/2014/main" xmlns="" id="{00000000-0008-0000-0100-0000AD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86" name="TextBox 685">
          <a:extLst>
            <a:ext uri="{FF2B5EF4-FFF2-40B4-BE49-F238E27FC236}">
              <a16:creationId xmlns:a16="http://schemas.microsoft.com/office/drawing/2014/main" xmlns="" id="{00000000-0008-0000-0100-0000AE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87" name="TextBox 686">
          <a:extLst>
            <a:ext uri="{FF2B5EF4-FFF2-40B4-BE49-F238E27FC236}">
              <a16:creationId xmlns:a16="http://schemas.microsoft.com/office/drawing/2014/main" xmlns="" id="{00000000-0008-0000-0100-0000AF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88" name="TextBox 687">
          <a:extLst>
            <a:ext uri="{FF2B5EF4-FFF2-40B4-BE49-F238E27FC236}">
              <a16:creationId xmlns:a16="http://schemas.microsoft.com/office/drawing/2014/main" xmlns="" id="{00000000-0008-0000-0100-0000B0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89" name="TextBox 688">
          <a:extLst>
            <a:ext uri="{FF2B5EF4-FFF2-40B4-BE49-F238E27FC236}">
              <a16:creationId xmlns:a16="http://schemas.microsoft.com/office/drawing/2014/main" xmlns="" id="{00000000-0008-0000-0100-0000B1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90" name="TextBox 689">
          <a:extLst>
            <a:ext uri="{FF2B5EF4-FFF2-40B4-BE49-F238E27FC236}">
              <a16:creationId xmlns:a16="http://schemas.microsoft.com/office/drawing/2014/main" xmlns="" id="{00000000-0008-0000-0100-0000B2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91" name="TextBox 690">
          <a:extLst>
            <a:ext uri="{FF2B5EF4-FFF2-40B4-BE49-F238E27FC236}">
              <a16:creationId xmlns:a16="http://schemas.microsoft.com/office/drawing/2014/main" xmlns="" id="{00000000-0008-0000-0100-0000B3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92" name="TextBox 691">
          <a:extLst>
            <a:ext uri="{FF2B5EF4-FFF2-40B4-BE49-F238E27FC236}">
              <a16:creationId xmlns:a16="http://schemas.microsoft.com/office/drawing/2014/main" xmlns="" id="{00000000-0008-0000-0100-0000B4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93" name="TextBox 692">
          <a:extLst>
            <a:ext uri="{FF2B5EF4-FFF2-40B4-BE49-F238E27FC236}">
              <a16:creationId xmlns:a16="http://schemas.microsoft.com/office/drawing/2014/main" xmlns="" id="{00000000-0008-0000-0100-0000B5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94" name="TextBox 693">
          <a:extLst>
            <a:ext uri="{FF2B5EF4-FFF2-40B4-BE49-F238E27FC236}">
              <a16:creationId xmlns:a16="http://schemas.microsoft.com/office/drawing/2014/main" xmlns="" id="{00000000-0008-0000-0100-0000B6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95" name="TextBox 694">
          <a:extLst>
            <a:ext uri="{FF2B5EF4-FFF2-40B4-BE49-F238E27FC236}">
              <a16:creationId xmlns:a16="http://schemas.microsoft.com/office/drawing/2014/main" xmlns="" id="{00000000-0008-0000-0100-0000B7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96" name="TextBox 695">
          <a:extLst>
            <a:ext uri="{FF2B5EF4-FFF2-40B4-BE49-F238E27FC236}">
              <a16:creationId xmlns:a16="http://schemas.microsoft.com/office/drawing/2014/main" xmlns="" id="{00000000-0008-0000-0100-0000B8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97" name="TextBox 696">
          <a:extLst>
            <a:ext uri="{FF2B5EF4-FFF2-40B4-BE49-F238E27FC236}">
              <a16:creationId xmlns:a16="http://schemas.microsoft.com/office/drawing/2014/main" xmlns="" id="{00000000-0008-0000-0100-0000B9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98" name="TextBox 697">
          <a:extLst>
            <a:ext uri="{FF2B5EF4-FFF2-40B4-BE49-F238E27FC236}">
              <a16:creationId xmlns:a16="http://schemas.microsoft.com/office/drawing/2014/main" xmlns="" id="{00000000-0008-0000-0100-0000BA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699" name="TextBox 698">
          <a:extLst>
            <a:ext uri="{FF2B5EF4-FFF2-40B4-BE49-F238E27FC236}">
              <a16:creationId xmlns:a16="http://schemas.microsoft.com/office/drawing/2014/main" xmlns="" id="{00000000-0008-0000-0100-0000BB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00" name="TextBox 699">
          <a:extLst>
            <a:ext uri="{FF2B5EF4-FFF2-40B4-BE49-F238E27FC236}">
              <a16:creationId xmlns:a16="http://schemas.microsoft.com/office/drawing/2014/main" xmlns="" id="{00000000-0008-0000-0100-0000BC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01" name="TextBox 700">
          <a:extLst>
            <a:ext uri="{FF2B5EF4-FFF2-40B4-BE49-F238E27FC236}">
              <a16:creationId xmlns:a16="http://schemas.microsoft.com/office/drawing/2014/main" xmlns="" id="{00000000-0008-0000-0100-0000BD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02" name="TextBox 701">
          <a:extLst>
            <a:ext uri="{FF2B5EF4-FFF2-40B4-BE49-F238E27FC236}">
              <a16:creationId xmlns:a16="http://schemas.microsoft.com/office/drawing/2014/main" xmlns="" id="{00000000-0008-0000-0100-0000BE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03" name="TextBox 702">
          <a:extLst>
            <a:ext uri="{FF2B5EF4-FFF2-40B4-BE49-F238E27FC236}">
              <a16:creationId xmlns:a16="http://schemas.microsoft.com/office/drawing/2014/main" xmlns="" id="{00000000-0008-0000-0100-0000BF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04" name="TextBox 703">
          <a:extLst>
            <a:ext uri="{FF2B5EF4-FFF2-40B4-BE49-F238E27FC236}">
              <a16:creationId xmlns:a16="http://schemas.microsoft.com/office/drawing/2014/main" xmlns="" id="{00000000-0008-0000-0100-0000C0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05" name="TextBox 704">
          <a:extLst>
            <a:ext uri="{FF2B5EF4-FFF2-40B4-BE49-F238E27FC236}">
              <a16:creationId xmlns:a16="http://schemas.microsoft.com/office/drawing/2014/main" xmlns="" id="{00000000-0008-0000-0100-0000C1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06" name="TextBox 705">
          <a:extLst>
            <a:ext uri="{FF2B5EF4-FFF2-40B4-BE49-F238E27FC236}">
              <a16:creationId xmlns:a16="http://schemas.microsoft.com/office/drawing/2014/main" xmlns="" id="{00000000-0008-0000-0100-0000C2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07" name="TextBox 706">
          <a:extLst>
            <a:ext uri="{FF2B5EF4-FFF2-40B4-BE49-F238E27FC236}">
              <a16:creationId xmlns:a16="http://schemas.microsoft.com/office/drawing/2014/main" xmlns="" id="{00000000-0008-0000-0100-0000C3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08" name="TextBox 707">
          <a:extLst>
            <a:ext uri="{FF2B5EF4-FFF2-40B4-BE49-F238E27FC236}">
              <a16:creationId xmlns:a16="http://schemas.microsoft.com/office/drawing/2014/main" xmlns="" id="{00000000-0008-0000-0100-0000C4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09" name="TextBox 708">
          <a:extLst>
            <a:ext uri="{FF2B5EF4-FFF2-40B4-BE49-F238E27FC236}">
              <a16:creationId xmlns:a16="http://schemas.microsoft.com/office/drawing/2014/main" xmlns="" id="{00000000-0008-0000-0100-0000C5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10" name="TextBox 709">
          <a:extLst>
            <a:ext uri="{FF2B5EF4-FFF2-40B4-BE49-F238E27FC236}">
              <a16:creationId xmlns:a16="http://schemas.microsoft.com/office/drawing/2014/main" xmlns="" id="{00000000-0008-0000-0100-0000C6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11" name="TextBox 710">
          <a:extLst>
            <a:ext uri="{FF2B5EF4-FFF2-40B4-BE49-F238E27FC236}">
              <a16:creationId xmlns:a16="http://schemas.microsoft.com/office/drawing/2014/main" xmlns="" id="{00000000-0008-0000-0100-0000C7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12" name="TextBox 711">
          <a:extLst>
            <a:ext uri="{FF2B5EF4-FFF2-40B4-BE49-F238E27FC236}">
              <a16:creationId xmlns:a16="http://schemas.microsoft.com/office/drawing/2014/main" xmlns="" id="{00000000-0008-0000-0100-0000C8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13" name="TextBox 712">
          <a:extLst>
            <a:ext uri="{FF2B5EF4-FFF2-40B4-BE49-F238E27FC236}">
              <a16:creationId xmlns:a16="http://schemas.microsoft.com/office/drawing/2014/main" xmlns="" id="{00000000-0008-0000-0100-0000C9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14" name="TextBox 713">
          <a:extLst>
            <a:ext uri="{FF2B5EF4-FFF2-40B4-BE49-F238E27FC236}">
              <a16:creationId xmlns:a16="http://schemas.microsoft.com/office/drawing/2014/main" xmlns="" id="{00000000-0008-0000-0100-0000CA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15" name="TextBox 714">
          <a:extLst>
            <a:ext uri="{FF2B5EF4-FFF2-40B4-BE49-F238E27FC236}">
              <a16:creationId xmlns:a16="http://schemas.microsoft.com/office/drawing/2014/main" xmlns="" id="{00000000-0008-0000-0100-0000CB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16" name="TextBox 715">
          <a:extLst>
            <a:ext uri="{FF2B5EF4-FFF2-40B4-BE49-F238E27FC236}">
              <a16:creationId xmlns:a16="http://schemas.microsoft.com/office/drawing/2014/main" xmlns="" id="{00000000-0008-0000-0100-0000CC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17" name="TextBox 716">
          <a:extLst>
            <a:ext uri="{FF2B5EF4-FFF2-40B4-BE49-F238E27FC236}">
              <a16:creationId xmlns:a16="http://schemas.microsoft.com/office/drawing/2014/main" xmlns="" id="{00000000-0008-0000-0100-0000CD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18" name="TextBox 717">
          <a:extLst>
            <a:ext uri="{FF2B5EF4-FFF2-40B4-BE49-F238E27FC236}">
              <a16:creationId xmlns:a16="http://schemas.microsoft.com/office/drawing/2014/main" xmlns="" id="{00000000-0008-0000-0100-0000CE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19" name="TextBox 718">
          <a:extLst>
            <a:ext uri="{FF2B5EF4-FFF2-40B4-BE49-F238E27FC236}">
              <a16:creationId xmlns:a16="http://schemas.microsoft.com/office/drawing/2014/main" xmlns="" id="{00000000-0008-0000-0100-0000CF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20" name="TextBox 719">
          <a:extLst>
            <a:ext uri="{FF2B5EF4-FFF2-40B4-BE49-F238E27FC236}">
              <a16:creationId xmlns:a16="http://schemas.microsoft.com/office/drawing/2014/main" xmlns="" id="{00000000-0008-0000-0100-0000D0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21" name="TextBox 720">
          <a:extLst>
            <a:ext uri="{FF2B5EF4-FFF2-40B4-BE49-F238E27FC236}">
              <a16:creationId xmlns:a16="http://schemas.microsoft.com/office/drawing/2014/main" xmlns="" id="{00000000-0008-0000-0100-0000D1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22" name="TextBox 721">
          <a:extLst>
            <a:ext uri="{FF2B5EF4-FFF2-40B4-BE49-F238E27FC236}">
              <a16:creationId xmlns:a16="http://schemas.microsoft.com/office/drawing/2014/main" xmlns="" id="{00000000-0008-0000-0100-0000D2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23" name="TextBox 722">
          <a:extLst>
            <a:ext uri="{FF2B5EF4-FFF2-40B4-BE49-F238E27FC236}">
              <a16:creationId xmlns:a16="http://schemas.microsoft.com/office/drawing/2014/main" xmlns="" id="{00000000-0008-0000-0100-0000D3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24" name="TextBox 723">
          <a:extLst>
            <a:ext uri="{FF2B5EF4-FFF2-40B4-BE49-F238E27FC236}">
              <a16:creationId xmlns:a16="http://schemas.microsoft.com/office/drawing/2014/main" xmlns="" id="{00000000-0008-0000-0100-0000D4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25" name="TextBox 724">
          <a:extLst>
            <a:ext uri="{FF2B5EF4-FFF2-40B4-BE49-F238E27FC236}">
              <a16:creationId xmlns:a16="http://schemas.microsoft.com/office/drawing/2014/main" xmlns="" id="{00000000-0008-0000-0100-0000D5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26" name="TextBox 725">
          <a:extLst>
            <a:ext uri="{FF2B5EF4-FFF2-40B4-BE49-F238E27FC236}">
              <a16:creationId xmlns:a16="http://schemas.microsoft.com/office/drawing/2014/main" xmlns="" id="{00000000-0008-0000-0100-0000D6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27" name="TextBox 726">
          <a:extLst>
            <a:ext uri="{FF2B5EF4-FFF2-40B4-BE49-F238E27FC236}">
              <a16:creationId xmlns:a16="http://schemas.microsoft.com/office/drawing/2014/main" xmlns="" id="{00000000-0008-0000-0100-0000D7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28" name="TextBox 727">
          <a:extLst>
            <a:ext uri="{FF2B5EF4-FFF2-40B4-BE49-F238E27FC236}">
              <a16:creationId xmlns:a16="http://schemas.microsoft.com/office/drawing/2014/main" xmlns="" id="{00000000-0008-0000-0100-0000D8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29" name="TextBox 728">
          <a:extLst>
            <a:ext uri="{FF2B5EF4-FFF2-40B4-BE49-F238E27FC236}">
              <a16:creationId xmlns:a16="http://schemas.microsoft.com/office/drawing/2014/main" xmlns="" id="{00000000-0008-0000-0100-0000D9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30" name="TextBox 729">
          <a:extLst>
            <a:ext uri="{FF2B5EF4-FFF2-40B4-BE49-F238E27FC236}">
              <a16:creationId xmlns:a16="http://schemas.microsoft.com/office/drawing/2014/main" xmlns="" id="{00000000-0008-0000-0100-0000DA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31" name="TextBox 730">
          <a:extLst>
            <a:ext uri="{FF2B5EF4-FFF2-40B4-BE49-F238E27FC236}">
              <a16:creationId xmlns:a16="http://schemas.microsoft.com/office/drawing/2014/main" xmlns="" id="{00000000-0008-0000-0100-0000DB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32" name="TextBox 731">
          <a:extLst>
            <a:ext uri="{FF2B5EF4-FFF2-40B4-BE49-F238E27FC236}">
              <a16:creationId xmlns:a16="http://schemas.microsoft.com/office/drawing/2014/main" xmlns="" id="{00000000-0008-0000-0100-0000DC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33" name="TextBox 732">
          <a:extLst>
            <a:ext uri="{FF2B5EF4-FFF2-40B4-BE49-F238E27FC236}">
              <a16:creationId xmlns:a16="http://schemas.microsoft.com/office/drawing/2014/main" xmlns="" id="{00000000-0008-0000-0100-0000DD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34" name="TextBox 733">
          <a:extLst>
            <a:ext uri="{FF2B5EF4-FFF2-40B4-BE49-F238E27FC236}">
              <a16:creationId xmlns:a16="http://schemas.microsoft.com/office/drawing/2014/main" xmlns="" id="{00000000-0008-0000-0100-0000DE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35" name="TextBox 734">
          <a:extLst>
            <a:ext uri="{FF2B5EF4-FFF2-40B4-BE49-F238E27FC236}">
              <a16:creationId xmlns:a16="http://schemas.microsoft.com/office/drawing/2014/main" xmlns="" id="{00000000-0008-0000-0100-0000DF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36" name="TextBox 735">
          <a:extLst>
            <a:ext uri="{FF2B5EF4-FFF2-40B4-BE49-F238E27FC236}">
              <a16:creationId xmlns:a16="http://schemas.microsoft.com/office/drawing/2014/main" xmlns="" id="{00000000-0008-0000-0100-0000E0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37" name="TextBox 736">
          <a:extLst>
            <a:ext uri="{FF2B5EF4-FFF2-40B4-BE49-F238E27FC236}">
              <a16:creationId xmlns:a16="http://schemas.microsoft.com/office/drawing/2014/main" xmlns="" id="{00000000-0008-0000-0100-0000E1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38" name="TextBox 737">
          <a:extLst>
            <a:ext uri="{FF2B5EF4-FFF2-40B4-BE49-F238E27FC236}">
              <a16:creationId xmlns:a16="http://schemas.microsoft.com/office/drawing/2014/main" xmlns="" id="{00000000-0008-0000-0100-0000E2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39" name="TextBox 738">
          <a:extLst>
            <a:ext uri="{FF2B5EF4-FFF2-40B4-BE49-F238E27FC236}">
              <a16:creationId xmlns:a16="http://schemas.microsoft.com/office/drawing/2014/main" xmlns="" id="{00000000-0008-0000-0100-0000E3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40" name="TextBox 739">
          <a:extLst>
            <a:ext uri="{FF2B5EF4-FFF2-40B4-BE49-F238E27FC236}">
              <a16:creationId xmlns:a16="http://schemas.microsoft.com/office/drawing/2014/main" xmlns="" id="{00000000-0008-0000-0100-0000E4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41" name="TextBox 740">
          <a:extLst>
            <a:ext uri="{FF2B5EF4-FFF2-40B4-BE49-F238E27FC236}">
              <a16:creationId xmlns:a16="http://schemas.microsoft.com/office/drawing/2014/main" xmlns="" id="{00000000-0008-0000-0100-0000E5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42" name="TextBox 741">
          <a:extLst>
            <a:ext uri="{FF2B5EF4-FFF2-40B4-BE49-F238E27FC236}">
              <a16:creationId xmlns:a16="http://schemas.microsoft.com/office/drawing/2014/main" xmlns="" id="{00000000-0008-0000-0100-0000E6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43" name="TextBox 742">
          <a:extLst>
            <a:ext uri="{FF2B5EF4-FFF2-40B4-BE49-F238E27FC236}">
              <a16:creationId xmlns:a16="http://schemas.microsoft.com/office/drawing/2014/main" xmlns="" id="{00000000-0008-0000-0100-0000E7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44" name="TextBox 743">
          <a:extLst>
            <a:ext uri="{FF2B5EF4-FFF2-40B4-BE49-F238E27FC236}">
              <a16:creationId xmlns:a16="http://schemas.microsoft.com/office/drawing/2014/main" xmlns="" id="{00000000-0008-0000-0100-0000E8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45" name="TextBox 744">
          <a:extLst>
            <a:ext uri="{FF2B5EF4-FFF2-40B4-BE49-F238E27FC236}">
              <a16:creationId xmlns:a16="http://schemas.microsoft.com/office/drawing/2014/main" xmlns="" id="{00000000-0008-0000-0100-0000E9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46" name="TextBox 745">
          <a:extLst>
            <a:ext uri="{FF2B5EF4-FFF2-40B4-BE49-F238E27FC236}">
              <a16:creationId xmlns:a16="http://schemas.microsoft.com/office/drawing/2014/main" xmlns="" id="{00000000-0008-0000-0100-0000EA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47" name="TextBox 746">
          <a:extLst>
            <a:ext uri="{FF2B5EF4-FFF2-40B4-BE49-F238E27FC236}">
              <a16:creationId xmlns:a16="http://schemas.microsoft.com/office/drawing/2014/main" xmlns="" id="{00000000-0008-0000-0100-0000EB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xmlns="" id="{00000000-0008-0000-0100-0000EC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49" name="TextBox 748">
          <a:extLst>
            <a:ext uri="{FF2B5EF4-FFF2-40B4-BE49-F238E27FC236}">
              <a16:creationId xmlns:a16="http://schemas.microsoft.com/office/drawing/2014/main" xmlns="" id="{00000000-0008-0000-0100-0000ED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50" name="TextBox 749">
          <a:extLst>
            <a:ext uri="{FF2B5EF4-FFF2-40B4-BE49-F238E27FC236}">
              <a16:creationId xmlns:a16="http://schemas.microsoft.com/office/drawing/2014/main" xmlns="" id="{00000000-0008-0000-0100-0000EE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51" name="TextBox 750">
          <a:extLst>
            <a:ext uri="{FF2B5EF4-FFF2-40B4-BE49-F238E27FC236}">
              <a16:creationId xmlns:a16="http://schemas.microsoft.com/office/drawing/2014/main" xmlns="" id="{00000000-0008-0000-0100-0000EF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52" name="TextBox 751">
          <a:extLst>
            <a:ext uri="{FF2B5EF4-FFF2-40B4-BE49-F238E27FC236}">
              <a16:creationId xmlns:a16="http://schemas.microsoft.com/office/drawing/2014/main" xmlns="" id="{00000000-0008-0000-0100-0000F0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53" name="TextBox 752">
          <a:extLst>
            <a:ext uri="{FF2B5EF4-FFF2-40B4-BE49-F238E27FC236}">
              <a16:creationId xmlns:a16="http://schemas.microsoft.com/office/drawing/2014/main" xmlns="" id="{00000000-0008-0000-0100-0000F1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54" name="TextBox 753">
          <a:extLst>
            <a:ext uri="{FF2B5EF4-FFF2-40B4-BE49-F238E27FC236}">
              <a16:creationId xmlns:a16="http://schemas.microsoft.com/office/drawing/2014/main" xmlns="" id="{00000000-0008-0000-0100-0000F2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55" name="TextBox 754">
          <a:extLst>
            <a:ext uri="{FF2B5EF4-FFF2-40B4-BE49-F238E27FC236}">
              <a16:creationId xmlns:a16="http://schemas.microsoft.com/office/drawing/2014/main" xmlns="" id="{00000000-0008-0000-0100-0000F3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56" name="TextBox 755">
          <a:extLst>
            <a:ext uri="{FF2B5EF4-FFF2-40B4-BE49-F238E27FC236}">
              <a16:creationId xmlns:a16="http://schemas.microsoft.com/office/drawing/2014/main" xmlns="" id="{00000000-0008-0000-0100-0000F4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57" name="TextBox 756">
          <a:extLst>
            <a:ext uri="{FF2B5EF4-FFF2-40B4-BE49-F238E27FC236}">
              <a16:creationId xmlns:a16="http://schemas.microsoft.com/office/drawing/2014/main" xmlns="" id="{00000000-0008-0000-0100-0000F5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58" name="TextBox 757">
          <a:extLst>
            <a:ext uri="{FF2B5EF4-FFF2-40B4-BE49-F238E27FC236}">
              <a16:creationId xmlns:a16="http://schemas.microsoft.com/office/drawing/2014/main" xmlns="" id="{00000000-0008-0000-0100-0000F6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59" name="TextBox 758">
          <a:extLst>
            <a:ext uri="{FF2B5EF4-FFF2-40B4-BE49-F238E27FC236}">
              <a16:creationId xmlns:a16="http://schemas.microsoft.com/office/drawing/2014/main" xmlns="" id="{00000000-0008-0000-0100-0000F7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60" name="TextBox 759">
          <a:extLst>
            <a:ext uri="{FF2B5EF4-FFF2-40B4-BE49-F238E27FC236}">
              <a16:creationId xmlns:a16="http://schemas.microsoft.com/office/drawing/2014/main" xmlns="" id="{00000000-0008-0000-0100-0000F8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61" name="TextBox 760">
          <a:extLst>
            <a:ext uri="{FF2B5EF4-FFF2-40B4-BE49-F238E27FC236}">
              <a16:creationId xmlns:a16="http://schemas.microsoft.com/office/drawing/2014/main" xmlns="" id="{00000000-0008-0000-0100-0000F9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62" name="TextBox 761">
          <a:extLst>
            <a:ext uri="{FF2B5EF4-FFF2-40B4-BE49-F238E27FC236}">
              <a16:creationId xmlns:a16="http://schemas.microsoft.com/office/drawing/2014/main" xmlns="" id="{00000000-0008-0000-0100-0000FA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63" name="TextBox 762">
          <a:extLst>
            <a:ext uri="{FF2B5EF4-FFF2-40B4-BE49-F238E27FC236}">
              <a16:creationId xmlns:a16="http://schemas.microsoft.com/office/drawing/2014/main" xmlns="" id="{00000000-0008-0000-0100-0000FB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xmlns="" id="{00000000-0008-0000-0100-0000FC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65" name="TextBox 764">
          <a:extLst>
            <a:ext uri="{FF2B5EF4-FFF2-40B4-BE49-F238E27FC236}">
              <a16:creationId xmlns:a16="http://schemas.microsoft.com/office/drawing/2014/main" xmlns="" id="{00000000-0008-0000-0100-0000FD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66" name="TextBox 765">
          <a:extLst>
            <a:ext uri="{FF2B5EF4-FFF2-40B4-BE49-F238E27FC236}">
              <a16:creationId xmlns:a16="http://schemas.microsoft.com/office/drawing/2014/main" xmlns="" id="{00000000-0008-0000-0100-0000FE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67" name="TextBox 766">
          <a:extLst>
            <a:ext uri="{FF2B5EF4-FFF2-40B4-BE49-F238E27FC236}">
              <a16:creationId xmlns:a16="http://schemas.microsoft.com/office/drawing/2014/main" xmlns="" id="{00000000-0008-0000-0100-0000FF02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68" name="TextBox 767">
          <a:extLst>
            <a:ext uri="{FF2B5EF4-FFF2-40B4-BE49-F238E27FC236}">
              <a16:creationId xmlns:a16="http://schemas.microsoft.com/office/drawing/2014/main" xmlns="" id="{00000000-0008-0000-0100-000000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69" name="TextBox 768">
          <a:extLst>
            <a:ext uri="{FF2B5EF4-FFF2-40B4-BE49-F238E27FC236}">
              <a16:creationId xmlns:a16="http://schemas.microsoft.com/office/drawing/2014/main" xmlns="" id="{00000000-0008-0000-0100-000001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70" name="TextBox 769">
          <a:extLst>
            <a:ext uri="{FF2B5EF4-FFF2-40B4-BE49-F238E27FC236}">
              <a16:creationId xmlns:a16="http://schemas.microsoft.com/office/drawing/2014/main" xmlns="" id="{00000000-0008-0000-0100-000002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71" name="TextBox 770">
          <a:extLst>
            <a:ext uri="{FF2B5EF4-FFF2-40B4-BE49-F238E27FC236}">
              <a16:creationId xmlns:a16="http://schemas.microsoft.com/office/drawing/2014/main" xmlns="" id="{00000000-0008-0000-0100-000003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72" name="TextBox 771">
          <a:extLst>
            <a:ext uri="{FF2B5EF4-FFF2-40B4-BE49-F238E27FC236}">
              <a16:creationId xmlns:a16="http://schemas.microsoft.com/office/drawing/2014/main" xmlns="" id="{00000000-0008-0000-0100-000004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73" name="TextBox 772">
          <a:extLst>
            <a:ext uri="{FF2B5EF4-FFF2-40B4-BE49-F238E27FC236}">
              <a16:creationId xmlns:a16="http://schemas.microsoft.com/office/drawing/2014/main" xmlns="" id="{00000000-0008-0000-0100-000005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74" name="TextBox 773">
          <a:extLst>
            <a:ext uri="{FF2B5EF4-FFF2-40B4-BE49-F238E27FC236}">
              <a16:creationId xmlns:a16="http://schemas.microsoft.com/office/drawing/2014/main" xmlns="" id="{00000000-0008-0000-0100-000006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75" name="TextBox 774">
          <a:extLst>
            <a:ext uri="{FF2B5EF4-FFF2-40B4-BE49-F238E27FC236}">
              <a16:creationId xmlns:a16="http://schemas.microsoft.com/office/drawing/2014/main" xmlns="" id="{00000000-0008-0000-0100-000007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76" name="TextBox 775">
          <a:extLst>
            <a:ext uri="{FF2B5EF4-FFF2-40B4-BE49-F238E27FC236}">
              <a16:creationId xmlns:a16="http://schemas.microsoft.com/office/drawing/2014/main" xmlns="" id="{00000000-0008-0000-0100-000008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77" name="TextBox 776">
          <a:extLst>
            <a:ext uri="{FF2B5EF4-FFF2-40B4-BE49-F238E27FC236}">
              <a16:creationId xmlns:a16="http://schemas.microsoft.com/office/drawing/2014/main" xmlns="" id="{00000000-0008-0000-0100-000009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78" name="TextBox 777">
          <a:extLst>
            <a:ext uri="{FF2B5EF4-FFF2-40B4-BE49-F238E27FC236}">
              <a16:creationId xmlns:a16="http://schemas.microsoft.com/office/drawing/2014/main" xmlns="" id="{00000000-0008-0000-0100-00000A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79" name="TextBox 778">
          <a:extLst>
            <a:ext uri="{FF2B5EF4-FFF2-40B4-BE49-F238E27FC236}">
              <a16:creationId xmlns:a16="http://schemas.microsoft.com/office/drawing/2014/main" xmlns="" id="{00000000-0008-0000-0100-00000B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80" name="TextBox 779">
          <a:extLst>
            <a:ext uri="{FF2B5EF4-FFF2-40B4-BE49-F238E27FC236}">
              <a16:creationId xmlns:a16="http://schemas.microsoft.com/office/drawing/2014/main" xmlns="" id="{00000000-0008-0000-0100-00000C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81" name="TextBox 780">
          <a:extLst>
            <a:ext uri="{FF2B5EF4-FFF2-40B4-BE49-F238E27FC236}">
              <a16:creationId xmlns:a16="http://schemas.microsoft.com/office/drawing/2014/main" xmlns="" id="{00000000-0008-0000-0100-00000D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82" name="TextBox 781">
          <a:extLst>
            <a:ext uri="{FF2B5EF4-FFF2-40B4-BE49-F238E27FC236}">
              <a16:creationId xmlns:a16="http://schemas.microsoft.com/office/drawing/2014/main" xmlns="" id="{00000000-0008-0000-0100-00000E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83" name="TextBox 782">
          <a:extLst>
            <a:ext uri="{FF2B5EF4-FFF2-40B4-BE49-F238E27FC236}">
              <a16:creationId xmlns:a16="http://schemas.microsoft.com/office/drawing/2014/main" xmlns="" id="{00000000-0008-0000-0100-00000F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84" name="TextBox 783">
          <a:extLst>
            <a:ext uri="{FF2B5EF4-FFF2-40B4-BE49-F238E27FC236}">
              <a16:creationId xmlns:a16="http://schemas.microsoft.com/office/drawing/2014/main" xmlns="" id="{00000000-0008-0000-0100-000010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85" name="TextBox 784">
          <a:extLst>
            <a:ext uri="{FF2B5EF4-FFF2-40B4-BE49-F238E27FC236}">
              <a16:creationId xmlns:a16="http://schemas.microsoft.com/office/drawing/2014/main" xmlns="" id="{00000000-0008-0000-0100-000011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86" name="TextBox 785">
          <a:extLst>
            <a:ext uri="{FF2B5EF4-FFF2-40B4-BE49-F238E27FC236}">
              <a16:creationId xmlns:a16="http://schemas.microsoft.com/office/drawing/2014/main" xmlns="" id="{00000000-0008-0000-0100-000012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87" name="TextBox 786">
          <a:extLst>
            <a:ext uri="{FF2B5EF4-FFF2-40B4-BE49-F238E27FC236}">
              <a16:creationId xmlns:a16="http://schemas.microsoft.com/office/drawing/2014/main" xmlns="" id="{00000000-0008-0000-0100-000013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88" name="TextBox 787">
          <a:extLst>
            <a:ext uri="{FF2B5EF4-FFF2-40B4-BE49-F238E27FC236}">
              <a16:creationId xmlns:a16="http://schemas.microsoft.com/office/drawing/2014/main" xmlns="" id="{00000000-0008-0000-0100-000014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89" name="TextBox 788">
          <a:extLst>
            <a:ext uri="{FF2B5EF4-FFF2-40B4-BE49-F238E27FC236}">
              <a16:creationId xmlns:a16="http://schemas.microsoft.com/office/drawing/2014/main" xmlns="" id="{00000000-0008-0000-0100-000015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90" name="TextBox 789">
          <a:extLst>
            <a:ext uri="{FF2B5EF4-FFF2-40B4-BE49-F238E27FC236}">
              <a16:creationId xmlns:a16="http://schemas.microsoft.com/office/drawing/2014/main" xmlns="" id="{00000000-0008-0000-0100-000016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91" name="TextBox 790">
          <a:extLst>
            <a:ext uri="{FF2B5EF4-FFF2-40B4-BE49-F238E27FC236}">
              <a16:creationId xmlns:a16="http://schemas.microsoft.com/office/drawing/2014/main" xmlns="" id="{00000000-0008-0000-0100-000017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92" name="TextBox 791">
          <a:extLst>
            <a:ext uri="{FF2B5EF4-FFF2-40B4-BE49-F238E27FC236}">
              <a16:creationId xmlns:a16="http://schemas.microsoft.com/office/drawing/2014/main" xmlns="" id="{00000000-0008-0000-0100-000018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93" name="TextBox 792">
          <a:extLst>
            <a:ext uri="{FF2B5EF4-FFF2-40B4-BE49-F238E27FC236}">
              <a16:creationId xmlns:a16="http://schemas.microsoft.com/office/drawing/2014/main" xmlns="" id="{00000000-0008-0000-0100-000019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94" name="TextBox 793">
          <a:extLst>
            <a:ext uri="{FF2B5EF4-FFF2-40B4-BE49-F238E27FC236}">
              <a16:creationId xmlns:a16="http://schemas.microsoft.com/office/drawing/2014/main" xmlns="" id="{00000000-0008-0000-0100-00001A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95" name="TextBox 794">
          <a:extLst>
            <a:ext uri="{FF2B5EF4-FFF2-40B4-BE49-F238E27FC236}">
              <a16:creationId xmlns:a16="http://schemas.microsoft.com/office/drawing/2014/main" xmlns="" id="{00000000-0008-0000-0100-00001B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96" name="TextBox 795">
          <a:extLst>
            <a:ext uri="{FF2B5EF4-FFF2-40B4-BE49-F238E27FC236}">
              <a16:creationId xmlns:a16="http://schemas.microsoft.com/office/drawing/2014/main" xmlns="" id="{00000000-0008-0000-0100-00001C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97" name="TextBox 796">
          <a:extLst>
            <a:ext uri="{FF2B5EF4-FFF2-40B4-BE49-F238E27FC236}">
              <a16:creationId xmlns:a16="http://schemas.microsoft.com/office/drawing/2014/main" xmlns="" id="{00000000-0008-0000-0100-00001D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98" name="TextBox 797">
          <a:extLst>
            <a:ext uri="{FF2B5EF4-FFF2-40B4-BE49-F238E27FC236}">
              <a16:creationId xmlns:a16="http://schemas.microsoft.com/office/drawing/2014/main" xmlns="" id="{00000000-0008-0000-0100-00001E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799" name="TextBox 798">
          <a:extLst>
            <a:ext uri="{FF2B5EF4-FFF2-40B4-BE49-F238E27FC236}">
              <a16:creationId xmlns:a16="http://schemas.microsoft.com/office/drawing/2014/main" xmlns="" id="{00000000-0008-0000-0100-00001F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00" name="TextBox 799">
          <a:extLst>
            <a:ext uri="{FF2B5EF4-FFF2-40B4-BE49-F238E27FC236}">
              <a16:creationId xmlns:a16="http://schemas.microsoft.com/office/drawing/2014/main" xmlns="" id="{00000000-0008-0000-0100-000020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01" name="TextBox 800">
          <a:extLst>
            <a:ext uri="{FF2B5EF4-FFF2-40B4-BE49-F238E27FC236}">
              <a16:creationId xmlns:a16="http://schemas.microsoft.com/office/drawing/2014/main" xmlns="" id="{00000000-0008-0000-0100-000021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02" name="TextBox 801">
          <a:extLst>
            <a:ext uri="{FF2B5EF4-FFF2-40B4-BE49-F238E27FC236}">
              <a16:creationId xmlns:a16="http://schemas.microsoft.com/office/drawing/2014/main" xmlns="" id="{00000000-0008-0000-0100-000022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03" name="TextBox 802">
          <a:extLst>
            <a:ext uri="{FF2B5EF4-FFF2-40B4-BE49-F238E27FC236}">
              <a16:creationId xmlns:a16="http://schemas.microsoft.com/office/drawing/2014/main" xmlns="" id="{00000000-0008-0000-0100-000023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04" name="TextBox 803">
          <a:extLst>
            <a:ext uri="{FF2B5EF4-FFF2-40B4-BE49-F238E27FC236}">
              <a16:creationId xmlns:a16="http://schemas.microsoft.com/office/drawing/2014/main" xmlns="" id="{00000000-0008-0000-0100-000024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05" name="TextBox 804">
          <a:extLst>
            <a:ext uri="{FF2B5EF4-FFF2-40B4-BE49-F238E27FC236}">
              <a16:creationId xmlns:a16="http://schemas.microsoft.com/office/drawing/2014/main" xmlns="" id="{00000000-0008-0000-0100-000025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06" name="TextBox 805">
          <a:extLst>
            <a:ext uri="{FF2B5EF4-FFF2-40B4-BE49-F238E27FC236}">
              <a16:creationId xmlns:a16="http://schemas.microsoft.com/office/drawing/2014/main" xmlns="" id="{00000000-0008-0000-0100-000026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07" name="TextBox 806">
          <a:extLst>
            <a:ext uri="{FF2B5EF4-FFF2-40B4-BE49-F238E27FC236}">
              <a16:creationId xmlns:a16="http://schemas.microsoft.com/office/drawing/2014/main" xmlns="" id="{00000000-0008-0000-0100-000027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08" name="TextBox 807">
          <a:extLst>
            <a:ext uri="{FF2B5EF4-FFF2-40B4-BE49-F238E27FC236}">
              <a16:creationId xmlns:a16="http://schemas.microsoft.com/office/drawing/2014/main" xmlns="" id="{00000000-0008-0000-0100-000028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09" name="TextBox 808">
          <a:extLst>
            <a:ext uri="{FF2B5EF4-FFF2-40B4-BE49-F238E27FC236}">
              <a16:creationId xmlns:a16="http://schemas.microsoft.com/office/drawing/2014/main" xmlns="" id="{00000000-0008-0000-0100-000029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10" name="TextBox 809">
          <a:extLst>
            <a:ext uri="{FF2B5EF4-FFF2-40B4-BE49-F238E27FC236}">
              <a16:creationId xmlns:a16="http://schemas.microsoft.com/office/drawing/2014/main" xmlns="" id="{00000000-0008-0000-0100-00002A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11" name="TextBox 810">
          <a:extLst>
            <a:ext uri="{FF2B5EF4-FFF2-40B4-BE49-F238E27FC236}">
              <a16:creationId xmlns:a16="http://schemas.microsoft.com/office/drawing/2014/main" xmlns="" id="{00000000-0008-0000-0100-00002B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12" name="TextBox 811">
          <a:extLst>
            <a:ext uri="{FF2B5EF4-FFF2-40B4-BE49-F238E27FC236}">
              <a16:creationId xmlns:a16="http://schemas.microsoft.com/office/drawing/2014/main" xmlns="" id="{00000000-0008-0000-0100-00002C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13" name="TextBox 812">
          <a:extLst>
            <a:ext uri="{FF2B5EF4-FFF2-40B4-BE49-F238E27FC236}">
              <a16:creationId xmlns:a16="http://schemas.microsoft.com/office/drawing/2014/main" xmlns="" id="{00000000-0008-0000-0100-00002D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14" name="TextBox 813">
          <a:extLst>
            <a:ext uri="{FF2B5EF4-FFF2-40B4-BE49-F238E27FC236}">
              <a16:creationId xmlns:a16="http://schemas.microsoft.com/office/drawing/2014/main" xmlns="" id="{00000000-0008-0000-0100-00002E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15" name="TextBox 814">
          <a:extLst>
            <a:ext uri="{FF2B5EF4-FFF2-40B4-BE49-F238E27FC236}">
              <a16:creationId xmlns:a16="http://schemas.microsoft.com/office/drawing/2014/main" xmlns="" id="{00000000-0008-0000-0100-00002F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16" name="TextBox 815">
          <a:extLst>
            <a:ext uri="{FF2B5EF4-FFF2-40B4-BE49-F238E27FC236}">
              <a16:creationId xmlns:a16="http://schemas.microsoft.com/office/drawing/2014/main" xmlns="" id="{00000000-0008-0000-0100-000030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17" name="TextBox 816">
          <a:extLst>
            <a:ext uri="{FF2B5EF4-FFF2-40B4-BE49-F238E27FC236}">
              <a16:creationId xmlns:a16="http://schemas.microsoft.com/office/drawing/2014/main" xmlns="" id="{00000000-0008-0000-0100-000031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18" name="TextBox 817">
          <a:extLst>
            <a:ext uri="{FF2B5EF4-FFF2-40B4-BE49-F238E27FC236}">
              <a16:creationId xmlns:a16="http://schemas.microsoft.com/office/drawing/2014/main" xmlns="" id="{00000000-0008-0000-0100-000032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19" name="TextBox 818">
          <a:extLst>
            <a:ext uri="{FF2B5EF4-FFF2-40B4-BE49-F238E27FC236}">
              <a16:creationId xmlns:a16="http://schemas.microsoft.com/office/drawing/2014/main" xmlns="" id="{00000000-0008-0000-0100-000033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20" name="TextBox 819">
          <a:extLst>
            <a:ext uri="{FF2B5EF4-FFF2-40B4-BE49-F238E27FC236}">
              <a16:creationId xmlns:a16="http://schemas.microsoft.com/office/drawing/2014/main" xmlns="" id="{00000000-0008-0000-0100-000034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21" name="TextBox 820">
          <a:extLst>
            <a:ext uri="{FF2B5EF4-FFF2-40B4-BE49-F238E27FC236}">
              <a16:creationId xmlns:a16="http://schemas.microsoft.com/office/drawing/2014/main" xmlns="" id="{00000000-0008-0000-0100-000035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22" name="TextBox 821">
          <a:extLst>
            <a:ext uri="{FF2B5EF4-FFF2-40B4-BE49-F238E27FC236}">
              <a16:creationId xmlns:a16="http://schemas.microsoft.com/office/drawing/2014/main" xmlns="" id="{00000000-0008-0000-0100-000036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23" name="TextBox 822">
          <a:extLst>
            <a:ext uri="{FF2B5EF4-FFF2-40B4-BE49-F238E27FC236}">
              <a16:creationId xmlns:a16="http://schemas.microsoft.com/office/drawing/2014/main" xmlns="" id="{00000000-0008-0000-0100-000037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24" name="TextBox 823">
          <a:extLst>
            <a:ext uri="{FF2B5EF4-FFF2-40B4-BE49-F238E27FC236}">
              <a16:creationId xmlns:a16="http://schemas.microsoft.com/office/drawing/2014/main" xmlns="" id="{00000000-0008-0000-0100-000038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25" name="TextBox 824">
          <a:extLst>
            <a:ext uri="{FF2B5EF4-FFF2-40B4-BE49-F238E27FC236}">
              <a16:creationId xmlns:a16="http://schemas.microsoft.com/office/drawing/2014/main" xmlns="" id="{00000000-0008-0000-0100-000039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26" name="TextBox 825">
          <a:extLst>
            <a:ext uri="{FF2B5EF4-FFF2-40B4-BE49-F238E27FC236}">
              <a16:creationId xmlns:a16="http://schemas.microsoft.com/office/drawing/2014/main" xmlns="" id="{00000000-0008-0000-0100-00003A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27" name="TextBox 826">
          <a:extLst>
            <a:ext uri="{FF2B5EF4-FFF2-40B4-BE49-F238E27FC236}">
              <a16:creationId xmlns:a16="http://schemas.microsoft.com/office/drawing/2014/main" xmlns="" id="{00000000-0008-0000-0100-00003B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28" name="TextBox 827">
          <a:extLst>
            <a:ext uri="{FF2B5EF4-FFF2-40B4-BE49-F238E27FC236}">
              <a16:creationId xmlns:a16="http://schemas.microsoft.com/office/drawing/2014/main" xmlns="" id="{00000000-0008-0000-0100-00003C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29" name="TextBox 828">
          <a:extLst>
            <a:ext uri="{FF2B5EF4-FFF2-40B4-BE49-F238E27FC236}">
              <a16:creationId xmlns:a16="http://schemas.microsoft.com/office/drawing/2014/main" xmlns="" id="{00000000-0008-0000-0100-00003D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30" name="TextBox 829">
          <a:extLst>
            <a:ext uri="{FF2B5EF4-FFF2-40B4-BE49-F238E27FC236}">
              <a16:creationId xmlns:a16="http://schemas.microsoft.com/office/drawing/2014/main" xmlns="" id="{00000000-0008-0000-0100-00003E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31" name="TextBox 830">
          <a:extLst>
            <a:ext uri="{FF2B5EF4-FFF2-40B4-BE49-F238E27FC236}">
              <a16:creationId xmlns:a16="http://schemas.microsoft.com/office/drawing/2014/main" xmlns="" id="{00000000-0008-0000-0100-00003F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32" name="TextBox 831">
          <a:extLst>
            <a:ext uri="{FF2B5EF4-FFF2-40B4-BE49-F238E27FC236}">
              <a16:creationId xmlns:a16="http://schemas.microsoft.com/office/drawing/2014/main" xmlns="" id="{00000000-0008-0000-0100-000040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33" name="TextBox 832">
          <a:extLst>
            <a:ext uri="{FF2B5EF4-FFF2-40B4-BE49-F238E27FC236}">
              <a16:creationId xmlns:a16="http://schemas.microsoft.com/office/drawing/2014/main" xmlns="" id="{00000000-0008-0000-0100-000041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34" name="TextBox 833">
          <a:extLst>
            <a:ext uri="{FF2B5EF4-FFF2-40B4-BE49-F238E27FC236}">
              <a16:creationId xmlns:a16="http://schemas.microsoft.com/office/drawing/2014/main" xmlns="" id="{00000000-0008-0000-0100-000042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35" name="TextBox 834">
          <a:extLst>
            <a:ext uri="{FF2B5EF4-FFF2-40B4-BE49-F238E27FC236}">
              <a16:creationId xmlns:a16="http://schemas.microsoft.com/office/drawing/2014/main" xmlns="" id="{00000000-0008-0000-0100-000043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36" name="TextBox 835">
          <a:extLst>
            <a:ext uri="{FF2B5EF4-FFF2-40B4-BE49-F238E27FC236}">
              <a16:creationId xmlns:a16="http://schemas.microsoft.com/office/drawing/2014/main" xmlns="" id="{00000000-0008-0000-0100-000044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37" name="TextBox 836">
          <a:extLst>
            <a:ext uri="{FF2B5EF4-FFF2-40B4-BE49-F238E27FC236}">
              <a16:creationId xmlns:a16="http://schemas.microsoft.com/office/drawing/2014/main" xmlns="" id="{00000000-0008-0000-0100-000045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38" name="TextBox 837">
          <a:extLst>
            <a:ext uri="{FF2B5EF4-FFF2-40B4-BE49-F238E27FC236}">
              <a16:creationId xmlns:a16="http://schemas.microsoft.com/office/drawing/2014/main" xmlns="" id="{00000000-0008-0000-0100-000046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39" name="TextBox 838">
          <a:extLst>
            <a:ext uri="{FF2B5EF4-FFF2-40B4-BE49-F238E27FC236}">
              <a16:creationId xmlns:a16="http://schemas.microsoft.com/office/drawing/2014/main" xmlns="" id="{00000000-0008-0000-0100-000047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40" name="TextBox 839">
          <a:extLst>
            <a:ext uri="{FF2B5EF4-FFF2-40B4-BE49-F238E27FC236}">
              <a16:creationId xmlns:a16="http://schemas.microsoft.com/office/drawing/2014/main" xmlns="" id="{00000000-0008-0000-0100-000048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41" name="TextBox 840">
          <a:extLst>
            <a:ext uri="{FF2B5EF4-FFF2-40B4-BE49-F238E27FC236}">
              <a16:creationId xmlns:a16="http://schemas.microsoft.com/office/drawing/2014/main" xmlns="" id="{00000000-0008-0000-0100-000049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42" name="TextBox 841">
          <a:extLst>
            <a:ext uri="{FF2B5EF4-FFF2-40B4-BE49-F238E27FC236}">
              <a16:creationId xmlns:a16="http://schemas.microsoft.com/office/drawing/2014/main" xmlns="" id="{00000000-0008-0000-0100-00004A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43" name="TextBox 842">
          <a:extLst>
            <a:ext uri="{FF2B5EF4-FFF2-40B4-BE49-F238E27FC236}">
              <a16:creationId xmlns:a16="http://schemas.microsoft.com/office/drawing/2014/main" xmlns="" id="{00000000-0008-0000-0100-00004B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44" name="TextBox 843">
          <a:extLst>
            <a:ext uri="{FF2B5EF4-FFF2-40B4-BE49-F238E27FC236}">
              <a16:creationId xmlns:a16="http://schemas.microsoft.com/office/drawing/2014/main" xmlns="" id="{00000000-0008-0000-0100-00004C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45" name="TextBox 844">
          <a:extLst>
            <a:ext uri="{FF2B5EF4-FFF2-40B4-BE49-F238E27FC236}">
              <a16:creationId xmlns:a16="http://schemas.microsoft.com/office/drawing/2014/main" xmlns="" id="{00000000-0008-0000-0100-00004D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46" name="TextBox 845">
          <a:extLst>
            <a:ext uri="{FF2B5EF4-FFF2-40B4-BE49-F238E27FC236}">
              <a16:creationId xmlns:a16="http://schemas.microsoft.com/office/drawing/2014/main" xmlns="" id="{00000000-0008-0000-0100-00004E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47" name="TextBox 846">
          <a:extLst>
            <a:ext uri="{FF2B5EF4-FFF2-40B4-BE49-F238E27FC236}">
              <a16:creationId xmlns:a16="http://schemas.microsoft.com/office/drawing/2014/main" xmlns="" id="{00000000-0008-0000-0100-00004F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48" name="TextBox 847">
          <a:extLst>
            <a:ext uri="{FF2B5EF4-FFF2-40B4-BE49-F238E27FC236}">
              <a16:creationId xmlns:a16="http://schemas.microsoft.com/office/drawing/2014/main" xmlns="" id="{00000000-0008-0000-0100-000050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49" name="TextBox 848">
          <a:extLst>
            <a:ext uri="{FF2B5EF4-FFF2-40B4-BE49-F238E27FC236}">
              <a16:creationId xmlns:a16="http://schemas.microsoft.com/office/drawing/2014/main" xmlns="" id="{00000000-0008-0000-0100-000051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50" name="TextBox 849">
          <a:extLst>
            <a:ext uri="{FF2B5EF4-FFF2-40B4-BE49-F238E27FC236}">
              <a16:creationId xmlns:a16="http://schemas.microsoft.com/office/drawing/2014/main" xmlns="" id="{00000000-0008-0000-0100-000052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51" name="TextBox 850">
          <a:extLst>
            <a:ext uri="{FF2B5EF4-FFF2-40B4-BE49-F238E27FC236}">
              <a16:creationId xmlns:a16="http://schemas.microsoft.com/office/drawing/2014/main" xmlns="" id="{00000000-0008-0000-0100-000053030000}"/>
            </a:ext>
          </a:extLst>
        </xdr:cNvPr>
        <xdr:cNvSpPr txBox="1"/>
      </xdr:nvSpPr>
      <xdr:spPr>
        <a:xfrm>
          <a:off x="11328848" y="302646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52" name="TextBox 851">
          <a:extLst>
            <a:ext uri="{FF2B5EF4-FFF2-40B4-BE49-F238E27FC236}">
              <a16:creationId xmlns:a16="http://schemas.microsoft.com/office/drawing/2014/main" xmlns="" id="{00000000-0008-0000-0100-000054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53" name="TextBox 852">
          <a:extLst>
            <a:ext uri="{FF2B5EF4-FFF2-40B4-BE49-F238E27FC236}">
              <a16:creationId xmlns:a16="http://schemas.microsoft.com/office/drawing/2014/main" xmlns="" id="{00000000-0008-0000-0100-000055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54" name="TextBox 853">
          <a:extLst>
            <a:ext uri="{FF2B5EF4-FFF2-40B4-BE49-F238E27FC236}">
              <a16:creationId xmlns:a16="http://schemas.microsoft.com/office/drawing/2014/main" xmlns="" id="{00000000-0008-0000-0100-000056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55" name="TextBox 854">
          <a:extLst>
            <a:ext uri="{FF2B5EF4-FFF2-40B4-BE49-F238E27FC236}">
              <a16:creationId xmlns:a16="http://schemas.microsoft.com/office/drawing/2014/main" xmlns="" id="{00000000-0008-0000-0100-000057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56" name="TextBox 855">
          <a:extLst>
            <a:ext uri="{FF2B5EF4-FFF2-40B4-BE49-F238E27FC236}">
              <a16:creationId xmlns:a16="http://schemas.microsoft.com/office/drawing/2014/main" xmlns="" id="{00000000-0008-0000-0100-000058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57" name="TextBox 856">
          <a:extLst>
            <a:ext uri="{FF2B5EF4-FFF2-40B4-BE49-F238E27FC236}">
              <a16:creationId xmlns:a16="http://schemas.microsoft.com/office/drawing/2014/main" xmlns="" id="{00000000-0008-0000-0100-000059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58" name="TextBox 857">
          <a:extLst>
            <a:ext uri="{FF2B5EF4-FFF2-40B4-BE49-F238E27FC236}">
              <a16:creationId xmlns:a16="http://schemas.microsoft.com/office/drawing/2014/main" xmlns="" id="{00000000-0008-0000-0100-00005A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59" name="TextBox 858">
          <a:extLst>
            <a:ext uri="{FF2B5EF4-FFF2-40B4-BE49-F238E27FC236}">
              <a16:creationId xmlns:a16="http://schemas.microsoft.com/office/drawing/2014/main" xmlns="" id="{00000000-0008-0000-0100-00005B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60" name="TextBox 859">
          <a:extLst>
            <a:ext uri="{FF2B5EF4-FFF2-40B4-BE49-F238E27FC236}">
              <a16:creationId xmlns:a16="http://schemas.microsoft.com/office/drawing/2014/main" xmlns="" id="{00000000-0008-0000-0100-00005C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61" name="TextBox 860">
          <a:extLst>
            <a:ext uri="{FF2B5EF4-FFF2-40B4-BE49-F238E27FC236}">
              <a16:creationId xmlns:a16="http://schemas.microsoft.com/office/drawing/2014/main" xmlns="" id="{00000000-0008-0000-0100-00005D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62" name="TextBox 861">
          <a:extLst>
            <a:ext uri="{FF2B5EF4-FFF2-40B4-BE49-F238E27FC236}">
              <a16:creationId xmlns:a16="http://schemas.microsoft.com/office/drawing/2014/main" xmlns="" id="{00000000-0008-0000-0100-00005E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63" name="TextBox 862">
          <a:extLst>
            <a:ext uri="{FF2B5EF4-FFF2-40B4-BE49-F238E27FC236}">
              <a16:creationId xmlns:a16="http://schemas.microsoft.com/office/drawing/2014/main" xmlns="" id="{00000000-0008-0000-0100-00005F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64" name="TextBox 863">
          <a:extLst>
            <a:ext uri="{FF2B5EF4-FFF2-40B4-BE49-F238E27FC236}">
              <a16:creationId xmlns:a16="http://schemas.microsoft.com/office/drawing/2014/main" xmlns="" id="{00000000-0008-0000-0100-000060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65" name="TextBox 864">
          <a:extLst>
            <a:ext uri="{FF2B5EF4-FFF2-40B4-BE49-F238E27FC236}">
              <a16:creationId xmlns:a16="http://schemas.microsoft.com/office/drawing/2014/main" xmlns="" id="{00000000-0008-0000-0100-000061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66" name="TextBox 865">
          <a:extLst>
            <a:ext uri="{FF2B5EF4-FFF2-40B4-BE49-F238E27FC236}">
              <a16:creationId xmlns:a16="http://schemas.microsoft.com/office/drawing/2014/main" xmlns="" id="{00000000-0008-0000-0100-000062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67" name="TextBox 866">
          <a:extLst>
            <a:ext uri="{FF2B5EF4-FFF2-40B4-BE49-F238E27FC236}">
              <a16:creationId xmlns:a16="http://schemas.microsoft.com/office/drawing/2014/main" xmlns="" id="{00000000-0008-0000-0100-000063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68" name="TextBox 867">
          <a:extLst>
            <a:ext uri="{FF2B5EF4-FFF2-40B4-BE49-F238E27FC236}">
              <a16:creationId xmlns:a16="http://schemas.microsoft.com/office/drawing/2014/main" xmlns="" id="{00000000-0008-0000-0100-000064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69" name="TextBox 868">
          <a:extLst>
            <a:ext uri="{FF2B5EF4-FFF2-40B4-BE49-F238E27FC236}">
              <a16:creationId xmlns:a16="http://schemas.microsoft.com/office/drawing/2014/main" xmlns="" id="{00000000-0008-0000-0100-000065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70" name="TextBox 869">
          <a:extLst>
            <a:ext uri="{FF2B5EF4-FFF2-40B4-BE49-F238E27FC236}">
              <a16:creationId xmlns:a16="http://schemas.microsoft.com/office/drawing/2014/main" xmlns="" id="{00000000-0008-0000-0100-000066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71" name="TextBox 870">
          <a:extLst>
            <a:ext uri="{FF2B5EF4-FFF2-40B4-BE49-F238E27FC236}">
              <a16:creationId xmlns:a16="http://schemas.microsoft.com/office/drawing/2014/main" xmlns="" id="{00000000-0008-0000-0100-000067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72" name="TextBox 871">
          <a:extLst>
            <a:ext uri="{FF2B5EF4-FFF2-40B4-BE49-F238E27FC236}">
              <a16:creationId xmlns:a16="http://schemas.microsoft.com/office/drawing/2014/main" xmlns="" id="{00000000-0008-0000-0100-000068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73" name="TextBox 872">
          <a:extLst>
            <a:ext uri="{FF2B5EF4-FFF2-40B4-BE49-F238E27FC236}">
              <a16:creationId xmlns:a16="http://schemas.microsoft.com/office/drawing/2014/main" xmlns="" id="{00000000-0008-0000-0100-000069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74" name="TextBox 873">
          <a:extLst>
            <a:ext uri="{FF2B5EF4-FFF2-40B4-BE49-F238E27FC236}">
              <a16:creationId xmlns:a16="http://schemas.microsoft.com/office/drawing/2014/main" xmlns="" id="{00000000-0008-0000-0100-00006A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75" name="TextBox 874">
          <a:extLst>
            <a:ext uri="{FF2B5EF4-FFF2-40B4-BE49-F238E27FC236}">
              <a16:creationId xmlns:a16="http://schemas.microsoft.com/office/drawing/2014/main" xmlns="" id="{00000000-0008-0000-0100-00006B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76" name="TextBox 875">
          <a:extLst>
            <a:ext uri="{FF2B5EF4-FFF2-40B4-BE49-F238E27FC236}">
              <a16:creationId xmlns:a16="http://schemas.microsoft.com/office/drawing/2014/main" xmlns="" id="{00000000-0008-0000-0100-00006C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77" name="TextBox 876">
          <a:extLst>
            <a:ext uri="{FF2B5EF4-FFF2-40B4-BE49-F238E27FC236}">
              <a16:creationId xmlns:a16="http://schemas.microsoft.com/office/drawing/2014/main" xmlns="" id="{00000000-0008-0000-0100-00006D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78" name="TextBox 877">
          <a:extLst>
            <a:ext uri="{FF2B5EF4-FFF2-40B4-BE49-F238E27FC236}">
              <a16:creationId xmlns:a16="http://schemas.microsoft.com/office/drawing/2014/main" xmlns="" id="{00000000-0008-0000-0100-00006E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79" name="TextBox 878">
          <a:extLst>
            <a:ext uri="{FF2B5EF4-FFF2-40B4-BE49-F238E27FC236}">
              <a16:creationId xmlns:a16="http://schemas.microsoft.com/office/drawing/2014/main" xmlns="" id="{00000000-0008-0000-0100-00006F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80" name="TextBox 879">
          <a:extLst>
            <a:ext uri="{FF2B5EF4-FFF2-40B4-BE49-F238E27FC236}">
              <a16:creationId xmlns:a16="http://schemas.microsoft.com/office/drawing/2014/main" xmlns="" id="{00000000-0008-0000-0100-000070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81" name="TextBox 880">
          <a:extLst>
            <a:ext uri="{FF2B5EF4-FFF2-40B4-BE49-F238E27FC236}">
              <a16:creationId xmlns:a16="http://schemas.microsoft.com/office/drawing/2014/main" xmlns="" id="{00000000-0008-0000-0100-000071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82" name="TextBox 881">
          <a:extLst>
            <a:ext uri="{FF2B5EF4-FFF2-40B4-BE49-F238E27FC236}">
              <a16:creationId xmlns:a16="http://schemas.microsoft.com/office/drawing/2014/main" xmlns="" id="{00000000-0008-0000-0100-000072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83" name="TextBox 882">
          <a:extLst>
            <a:ext uri="{FF2B5EF4-FFF2-40B4-BE49-F238E27FC236}">
              <a16:creationId xmlns:a16="http://schemas.microsoft.com/office/drawing/2014/main" xmlns="" id="{00000000-0008-0000-0100-000073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84" name="TextBox 883">
          <a:extLst>
            <a:ext uri="{FF2B5EF4-FFF2-40B4-BE49-F238E27FC236}">
              <a16:creationId xmlns:a16="http://schemas.microsoft.com/office/drawing/2014/main" xmlns="" id="{00000000-0008-0000-0100-000074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85" name="TextBox 884">
          <a:extLst>
            <a:ext uri="{FF2B5EF4-FFF2-40B4-BE49-F238E27FC236}">
              <a16:creationId xmlns:a16="http://schemas.microsoft.com/office/drawing/2014/main" xmlns="" id="{00000000-0008-0000-0100-000075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86" name="TextBox 885">
          <a:extLst>
            <a:ext uri="{FF2B5EF4-FFF2-40B4-BE49-F238E27FC236}">
              <a16:creationId xmlns:a16="http://schemas.microsoft.com/office/drawing/2014/main" xmlns="" id="{00000000-0008-0000-0100-000076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87" name="TextBox 886">
          <a:extLst>
            <a:ext uri="{FF2B5EF4-FFF2-40B4-BE49-F238E27FC236}">
              <a16:creationId xmlns:a16="http://schemas.microsoft.com/office/drawing/2014/main" xmlns="" id="{00000000-0008-0000-0100-000077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88" name="TextBox 887">
          <a:extLst>
            <a:ext uri="{FF2B5EF4-FFF2-40B4-BE49-F238E27FC236}">
              <a16:creationId xmlns:a16="http://schemas.microsoft.com/office/drawing/2014/main" xmlns="" id="{00000000-0008-0000-0100-000078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89" name="TextBox 888">
          <a:extLst>
            <a:ext uri="{FF2B5EF4-FFF2-40B4-BE49-F238E27FC236}">
              <a16:creationId xmlns:a16="http://schemas.microsoft.com/office/drawing/2014/main" xmlns="" id="{00000000-0008-0000-0100-000079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90" name="TextBox 889">
          <a:extLst>
            <a:ext uri="{FF2B5EF4-FFF2-40B4-BE49-F238E27FC236}">
              <a16:creationId xmlns:a16="http://schemas.microsoft.com/office/drawing/2014/main" xmlns="" id="{00000000-0008-0000-0100-00007A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91" name="TextBox 890">
          <a:extLst>
            <a:ext uri="{FF2B5EF4-FFF2-40B4-BE49-F238E27FC236}">
              <a16:creationId xmlns:a16="http://schemas.microsoft.com/office/drawing/2014/main" xmlns="" id="{00000000-0008-0000-0100-00007B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92" name="TextBox 891">
          <a:extLst>
            <a:ext uri="{FF2B5EF4-FFF2-40B4-BE49-F238E27FC236}">
              <a16:creationId xmlns:a16="http://schemas.microsoft.com/office/drawing/2014/main" xmlns="" id="{00000000-0008-0000-0100-00007C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93" name="TextBox 892">
          <a:extLst>
            <a:ext uri="{FF2B5EF4-FFF2-40B4-BE49-F238E27FC236}">
              <a16:creationId xmlns:a16="http://schemas.microsoft.com/office/drawing/2014/main" xmlns="" id="{00000000-0008-0000-0100-00007D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94" name="TextBox 893">
          <a:extLst>
            <a:ext uri="{FF2B5EF4-FFF2-40B4-BE49-F238E27FC236}">
              <a16:creationId xmlns:a16="http://schemas.microsoft.com/office/drawing/2014/main" xmlns="" id="{00000000-0008-0000-0100-00007E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95" name="TextBox 894">
          <a:extLst>
            <a:ext uri="{FF2B5EF4-FFF2-40B4-BE49-F238E27FC236}">
              <a16:creationId xmlns:a16="http://schemas.microsoft.com/office/drawing/2014/main" xmlns="" id="{00000000-0008-0000-0100-00007F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96" name="TextBox 895">
          <a:extLst>
            <a:ext uri="{FF2B5EF4-FFF2-40B4-BE49-F238E27FC236}">
              <a16:creationId xmlns:a16="http://schemas.microsoft.com/office/drawing/2014/main" xmlns="" id="{00000000-0008-0000-0100-000080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97" name="TextBox 896">
          <a:extLst>
            <a:ext uri="{FF2B5EF4-FFF2-40B4-BE49-F238E27FC236}">
              <a16:creationId xmlns:a16="http://schemas.microsoft.com/office/drawing/2014/main" xmlns="" id="{00000000-0008-0000-0100-000081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98" name="TextBox 897">
          <a:extLst>
            <a:ext uri="{FF2B5EF4-FFF2-40B4-BE49-F238E27FC236}">
              <a16:creationId xmlns:a16="http://schemas.microsoft.com/office/drawing/2014/main" xmlns="" id="{00000000-0008-0000-0100-000082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899" name="TextBox 898">
          <a:extLst>
            <a:ext uri="{FF2B5EF4-FFF2-40B4-BE49-F238E27FC236}">
              <a16:creationId xmlns:a16="http://schemas.microsoft.com/office/drawing/2014/main" xmlns="" id="{00000000-0008-0000-0100-000083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00" name="TextBox 899">
          <a:extLst>
            <a:ext uri="{FF2B5EF4-FFF2-40B4-BE49-F238E27FC236}">
              <a16:creationId xmlns:a16="http://schemas.microsoft.com/office/drawing/2014/main" xmlns="" id="{00000000-0008-0000-0100-000084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01" name="TextBox 900">
          <a:extLst>
            <a:ext uri="{FF2B5EF4-FFF2-40B4-BE49-F238E27FC236}">
              <a16:creationId xmlns:a16="http://schemas.microsoft.com/office/drawing/2014/main" xmlns="" id="{00000000-0008-0000-0100-000085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02" name="TextBox 901">
          <a:extLst>
            <a:ext uri="{FF2B5EF4-FFF2-40B4-BE49-F238E27FC236}">
              <a16:creationId xmlns:a16="http://schemas.microsoft.com/office/drawing/2014/main" xmlns="" id="{00000000-0008-0000-0100-000086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03" name="TextBox 902">
          <a:extLst>
            <a:ext uri="{FF2B5EF4-FFF2-40B4-BE49-F238E27FC236}">
              <a16:creationId xmlns:a16="http://schemas.microsoft.com/office/drawing/2014/main" xmlns="" id="{00000000-0008-0000-0100-000087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04" name="TextBox 903">
          <a:extLst>
            <a:ext uri="{FF2B5EF4-FFF2-40B4-BE49-F238E27FC236}">
              <a16:creationId xmlns:a16="http://schemas.microsoft.com/office/drawing/2014/main" xmlns="" id="{00000000-0008-0000-0100-000088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05" name="TextBox 904">
          <a:extLst>
            <a:ext uri="{FF2B5EF4-FFF2-40B4-BE49-F238E27FC236}">
              <a16:creationId xmlns:a16="http://schemas.microsoft.com/office/drawing/2014/main" xmlns="" id="{00000000-0008-0000-0100-000089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06" name="TextBox 905">
          <a:extLst>
            <a:ext uri="{FF2B5EF4-FFF2-40B4-BE49-F238E27FC236}">
              <a16:creationId xmlns:a16="http://schemas.microsoft.com/office/drawing/2014/main" xmlns="" id="{00000000-0008-0000-0100-00008A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07" name="TextBox 906">
          <a:extLst>
            <a:ext uri="{FF2B5EF4-FFF2-40B4-BE49-F238E27FC236}">
              <a16:creationId xmlns:a16="http://schemas.microsoft.com/office/drawing/2014/main" xmlns="" id="{00000000-0008-0000-0100-00008B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08" name="TextBox 907">
          <a:extLst>
            <a:ext uri="{FF2B5EF4-FFF2-40B4-BE49-F238E27FC236}">
              <a16:creationId xmlns:a16="http://schemas.microsoft.com/office/drawing/2014/main" xmlns="" id="{00000000-0008-0000-0100-00008C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09" name="TextBox 908">
          <a:extLst>
            <a:ext uri="{FF2B5EF4-FFF2-40B4-BE49-F238E27FC236}">
              <a16:creationId xmlns:a16="http://schemas.microsoft.com/office/drawing/2014/main" xmlns="" id="{00000000-0008-0000-0100-00008D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10" name="TextBox 909">
          <a:extLst>
            <a:ext uri="{FF2B5EF4-FFF2-40B4-BE49-F238E27FC236}">
              <a16:creationId xmlns:a16="http://schemas.microsoft.com/office/drawing/2014/main" xmlns="" id="{00000000-0008-0000-0100-00008E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11" name="TextBox 910">
          <a:extLst>
            <a:ext uri="{FF2B5EF4-FFF2-40B4-BE49-F238E27FC236}">
              <a16:creationId xmlns:a16="http://schemas.microsoft.com/office/drawing/2014/main" xmlns="" id="{00000000-0008-0000-0100-00008F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12" name="TextBox 911">
          <a:extLst>
            <a:ext uri="{FF2B5EF4-FFF2-40B4-BE49-F238E27FC236}">
              <a16:creationId xmlns:a16="http://schemas.microsoft.com/office/drawing/2014/main" xmlns="" id="{00000000-0008-0000-0100-000090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13" name="TextBox 912">
          <a:extLst>
            <a:ext uri="{FF2B5EF4-FFF2-40B4-BE49-F238E27FC236}">
              <a16:creationId xmlns:a16="http://schemas.microsoft.com/office/drawing/2014/main" xmlns="" id="{00000000-0008-0000-0100-000091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14" name="TextBox 913">
          <a:extLst>
            <a:ext uri="{FF2B5EF4-FFF2-40B4-BE49-F238E27FC236}">
              <a16:creationId xmlns:a16="http://schemas.microsoft.com/office/drawing/2014/main" xmlns="" id="{00000000-0008-0000-0100-000092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15" name="TextBox 914">
          <a:extLst>
            <a:ext uri="{FF2B5EF4-FFF2-40B4-BE49-F238E27FC236}">
              <a16:creationId xmlns:a16="http://schemas.microsoft.com/office/drawing/2014/main" xmlns="" id="{00000000-0008-0000-0100-000093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16" name="TextBox 915">
          <a:extLst>
            <a:ext uri="{FF2B5EF4-FFF2-40B4-BE49-F238E27FC236}">
              <a16:creationId xmlns:a16="http://schemas.microsoft.com/office/drawing/2014/main" xmlns="" id="{00000000-0008-0000-0100-000094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17" name="TextBox 916">
          <a:extLst>
            <a:ext uri="{FF2B5EF4-FFF2-40B4-BE49-F238E27FC236}">
              <a16:creationId xmlns:a16="http://schemas.microsoft.com/office/drawing/2014/main" xmlns="" id="{00000000-0008-0000-0100-000095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18" name="TextBox 917">
          <a:extLst>
            <a:ext uri="{FF2B5EF4-FFF2-40B4-BE49-F238E27FC236}">
              <a16:creationId xmlns:a16="http://schemas.microsoft.com/office/drawing/2014/main" xmlns="" id="{00000000-0008-0000-0100-000096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xmlns="" id="{00000000-0008-0000-0100-000097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20" name="TextBox 919">
          <a:extLst>
            <a:ext uri="{FF2B5EF4-FFF2-40B4-BE49-F238E27FC236}">
              <a16:creationId xmlns:a16="http://schemas.microsoft.com/office/drawing/2014/main" xmlns="" id="{00000000-0008-0000-0100-000098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21" name="TextBox 920">
          <a:extLst>
            <a:ext uri="{FF2B5EF4-FFF2-40B4-BE49-F238E27FC236}">
              <a16:creationId xmlns:a16="http://schemas.microsoft.com/office/drawing/2014/main" xmlns="" id="{00000000-0008-0000-0100-000099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22" name="TextBox 921">
          <a:extLst>
            <a:ext uri="{FF2B5EF4-FFF2-40B4-BE49-F238E27FC236}">
              <a16:creationId xmlns:a16="http://schemas.microsoft.com/office/drawing/2014/main" xmlns="" id="{00000000-0008-0000-0100-00009A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23" name="TextBox 922">
          <a:extLst>
            <a:ext uri="{FF2B5EF4-FFF2-40B4-BE49-F238E27FC236}">
              <a16:creationId xmlns:a16="http://schemas.microsoft.com/office/drawing/2014/main" xmlns="" id="{00000000-0008-0000-0100-00009B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24" name="TextBox 923">
          <a:extLst>
            <a:ext uri="{FF2B5EF4-FFF2-40B4-BE49-F238E27FC236}">
              <a16:creationId xmlns:a16="http://schemas.microsoft.com/office/drawing/2014/main" xmlns="" id="{00000000-0008-0000-0100-00009C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25" name="TextBox 924">
          <a:extLst>
            <a:ext uri="{FF2B5EF4-FFF2-40B4-BE49-F238E27FC236}">
              <a16:creationId xmlns:a16="http://schemas.microsoft.com/office/drawing/2014/main" xmlns="" id="{00000000-0008-0000-0100-00009D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26" name="TextBox 925">
          <a:extLst>
            <a:ext uri="{FF2B5EF4-FFF2-40B4-BE49-F238E27FC236}">
              <a16:creationId xmlns:a16="http://schemas.microsoft.com/office/drawing/2014/main" xmlns="" id="{00000000-0008-0000-0100-00009E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27" name="TextBox 926">
          <a:extLst>
            <a:ext uri="{FF2B5EF4-FFF2-40B4-BE49-F238E27FC236}">
              <a16:creationId xmlns:a16="http://schemas.microsoft.com/office/drawing/2014/main" xmlns="" id="{00000000-0008-0000-0100-00009F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28" name="TextBox 927">
          <a:extLst>
            <a:ext uri="{FF2B5EF4-FFF2-40B4-BE49-F238E27FC236}">
              <a16:creationId xmlns:a16="http://schemas.microsoft.com/office/drawing/2014/main" xmlns="" id="{00000000-0008-0000-0100-0000A0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29" name="TextBox 928">
          <a:extLst>
            <a:ext uri="{FF2B5EF4-FFF2-40B4-BE49-F238E27FC236}">
              <a16:creationId xmlns:a16="http://schemas.microsoft.com/office/drawing/2014/main" xmlns="" id="{00000000-0008-0000-0100-0000A1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30" name="TextBox 929">
          <a:extLst>
            <a:ext uri="{FF2B5EF4-FFF2-40B4-BE49-F238E27FC236}">
              <a16:creationId xmlns:a16="http://schemas.microsoft.com/office/drawing/2014/main" xmlns="" id="{00000000-0008-0000-0100-0000A2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31" name="TextBox 930">
          <a:extLst>
            <a:ext uri="{FF2B5EF4-FFF2-40B4-BE49-F238E27FC236}">
              <a16:creationId xmlns:a16="http://schemas.microsoft.com/office/drawing/2014/main" xmlns="" id="{00000000-0008-0000-0100-0000A3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32" name="TextBox 931">
          <a:extLst>
            <a:ext uri="{FF2B5EF4-FFF2-40B4-BE49-F238E27FC236}">
              <a16:creationId xmlns:a16="http://schemas.microsoft.com/office/drawing/2014/main" xmlns="" id="{00000000-0008-0000-0100-0000A4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33" name="TextBox 932">
          <a:extLst>
            <a:ext uri="{FF2B5EF4-FFF2-40B4-BE49-F238E27FC236}">
              <a16:creationId xmlns:a16="http://schemas.microsoft.com/office/drawing/2014/main" xmlns="" id="{00000000-0008-0000-0100-0000A5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34" name="TextBox 933">
          <a:extLst>
            <a:ext uri="{FF2B5EF4-FFF2-40B4-BE49-F238E27FC236}">
              <a16:creationId xmlns:a16="http://schemas.microsoft.com/office/drawing/2014/main" xmlns="" id="{00000000-0008-0000-0100-0000A6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35" name="TextBox 934">
          <a:extLst>
            <a:ext uri="{FF2B5EF4-FFF2-40B4-BE49-F238E27FC236}">
              <a16:creationId xmlns:a16="http://schemas.microsoft.com/office/drawing/2014/main" xmlns="" id="{00000000-0008-0000-0100-0000A7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36" name="TextBox 935">
          <a:extLst>
            <a:ext uri="{FF2B5EF4-FFF2-40B4-BE49-F238E27FC236}">
              <a16:creationId xmlns:a16="http://schemas.microsoft.com/office/drawing/2014/main" xmlns="" id="{00000000-0008-0000-0100-0000A8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37" name="TextBox 936">
          <a:extLst>
            <a:ext uri="{FF2B5EF4-FFF2-40B4-BE49-F238E27FC236}">
              <a16:creationId xmlns:a16="http://schemas.microsoft.com/office/drawing/2014/main" xmlns="" id="{00000000-0008-0000-0100-0000A9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38" name="TextBox 937">
          <a:extLst>
            <a:ext uri="{FF2B5EF4-FFF2-40B4-BE49-F238E27FC236}">
              <a16:creationId xmlns:a16="http://schemas.microsoft.com/office/drawing/2014/main" xmlns="" id="{00000000-0008-0000-0100-0000AA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39" name="TextBox 938">
          <a:extLst>
            <a:ext uri="{FF2B5EF4-FFF2-40B4-BE49-F238E27FC236}">
              <a16:creationId xmlns:a16="http://schemas.microsoft.com/office/drawing/2014/main" xmlns="" id="{00000000-0008-0000-0100-0000AB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40" name="TextBox 939">
          <a:extLst>
            <a:ext uri="{FF2B5EF4-FFF2-40B4-BE49-F238E27FC236}">
              <a16:creationId xmlns:a16="http://schemas.microsoft.com/office/drawing/2014/main" xmlns="" id="{00000000-0008-0000-0100-0000AC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41" name="TextBox 940">
          <a:extLst>
            <a:ext uri="{FF2B5EF4-FFF2-40B4-BE49-F238E27FC236}">
              <a16:creationId xmlns:a16="http://schemas.microsoft.com/office/drawing/2014/main" xmlns="" id="{00000000-0008-0000-0100-0000AD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42" name="TextBox 941">
          <a:extLst>
            <a:ext uri="{FF2B5EF4-FFF2-40B4-BE49-F238E27FC236}">
              <a16:creationId xmlns:a16="http://schemas.microsoft.com/office/drawing/2014/main" xmlns="" id="{00000000-0008-0000-0100-0000AE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43" name="TextBox 942">
          <a:extLst>
            <a:ext uri="{FF2B5EF4-FFF2-40B4-BE49-F238E27FC236}">
              <a16:creationId xmlns:a16="http://schemas.microsoft.com/office/drawing/2014/main" xmlns="" id="{00000000-0008-0000-0100-0000AF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44" name="TextBox 943">
          <a:extLst>
            <a:ext uri="{FF2B5EF4-FFF2-40B4-BE49-F238E27FC236}">
              <a16:creationId xmlns:a16="http://schemas.microsoft.com/office/drawing/2014/main" xmlns="" id="{00000000-0008-0000-0100-0000B0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45" name="TextBox 944">
          <a:extLst>
            <a:ext uri="{FF2B5EF4-FFF2-40B4-BE49-F238E27FC236}">
              <a16:creationId xmlns:a16="http://schemas.microsoft.com/office/drawing/2014/main" xmlns="" id="{00000000-0008-0000-0100-0000B1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46" name="TextBox 945">
          <a:extLst>
            <a:ext uri="{FF2B5EF4-FFF2-40B4-BE49-F238E27FC236}">
              <a16:creationId xmlns:a16="http://schemas.microsoft.com/office/drawing/2014/main" xmlns="" id="{00000000-0008-0000-0100-0000B2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47" name="TextBox 946">
          <a:extLst>
            <a:ext uri="{FF2B5EF4-FFF2-40B4-BE49-F238E27FC236}">
              <a16:creationId xmlns:a16="http://schemas.microsoft.com/office/drawing/2014/main" xmlns="" id="{00000000-0008-0000-0100-0000B3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48" name="TextBox 947">
          <a:extLst>
            <a:ext uri="{FF2B5EF4-FFF2-40B4-BE49-F238E27FC236}">
              <a16:creationId xmlns:a16="http://schemas.microsoft.com/office/drawing/2014/main" xmlns="" id="{00000000-0008-0000-0100-0000B4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49" name="TextBox 948">
          <a:extLst>
            <a:ext uri="{FF2B5EF4-FFF2-40B4-BE49-F238E27FC236}">
              <a16:creationId xmlns:a16="http://schemas.microsoft.com/office/drawing/2014/main" xmlns="" id="{00000000-0008-0000-0100-0000B5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50" name="TextBox 949">
          <a:extLst>
            <a:ext uri="{FF2B5EF4-FFF2-40B4-BE49-F238E27FC236}">
              <a16:creationId xmlns:a16="http://schemas.microsoft.com/office/drawing/2014/main" xmlns="" id="{00000000-0008-0000-0100-0000B6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51" name="TextBox 950">
          <a:extLst>
            <a:ext uri="{FF2B5EF4-FFF2-40B4-BE49-F238E27FC236}">
              <a16:creationId xmlns:a16="http://schemas.microsoft.com/office/drawing/2014/main" xmlns="" id="{00000000-0008-0000-0100-0000B7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52" name="TextBox 951">
          <a:extLst>
            <a:ext uri="{FF2B5EF4-FFF2-40B4-BE49-F238E27FC236}">
              <a16:creationId xmlns:a16="http://schemas.microsoft.com/office/drawing/2014/main" xmlns="" id="{00000000-0008-0000-0100-0000B8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53" name="TextBox 952">
          <a:extLst>
            <a:ext uri="{FF2B5EF4-FFF2-40B4-BE49-F238E27FC236}">
              <a16:creationId xmlns:a16="http://schemas.microsoft.com/office/drawing/2014/main" xmlns="" id="{00000000-0008-0000-0100-0000B9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54" name="TextBox 953">
          <a:extLst>
            <a:ext uri="{FF2B5EF4-FFF2-40B4-BE49-F238E27FC236}">
              <a16:creationId xmlns:a16="http://schemas.microsoft.com/office/drawing/2014/main" xmlns="" id="{00000000-0008-0000-0100-0000BA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55" name="TextBox 954">
          <a:extLst>
            <a:ext uri="{FF2B5EF4-FFF2-40B4-BE49-F238E27FC236}">
              <a16:creationId xmlns:a16="http://schemas.microsoft.com/office/drawing/2014/main" xmlns="" id="{00000000-0008-0000-0100-0000BB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56" name="TextBox 955">
          <a:extLst>
            <a:ext uri="{FF2B5EF4-FFF2-40B4-BE49-F238E27FC236}">
              <a16:creationId xmlns:a16="http://schemas.microsoft.com/office/drawing/2014/main" xmlns="" id="{00000000-0008-0000-0100-0000BC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57" name="TextBox 956">
          <a:extLst>
            <a:ext uri="{FF2B5EF4-FFF2-40B4-BE49-F238E27FC236}">
              <a16:creationId xmlns:a16="http://schemas.microsoft.com/office/drawing/2014/main" xmlns="" id="{00000000-0008-0000-0100-0000BD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58" name="TextBox 957">
          <a:extLst>
            <a:ext uri="{FF2B5EF4-FFF2-40B4-BE49-F238E27FC236}">
              <a16:creationId xmlns:a16="http://schemas.microsoft.com/office/drawing/2014/main" xmlns="" id="{00000000-0008-0000-0100-0000BE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59" name="TextBox 958">
          <a:extLst>
            <a:ext uri="{FF2B5EF4-FFF2-40B4-BE49-F238E27FC236}">
              <a16:creationId xmlns:a16="http://schemas.microsoft.com/office/drawing/2014/main" xmlns="" id="{00000000-0008-0000-0100-0000BF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60" name="TextBox 959">
          <a:extLst>
            <a:ext uri="{FF2B5EF4-FFF2-40B4-BE49-F238E27FC236}">
              <a16:creationId xmlns:a16="http://schemas.microsoft.com/office/drawing/2014/main" xmlns="" id="{00000000-0008-0000-0100-0000C0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61" name="TextBox 960">
          <a:extLst>
            <a:ext uri="{FF2B5EF4-FFF2-40B4-BE49-F238E27FC236}">
              <a16:creationId xmlns:a16="http://schemas.microsoft.com/office/drawing/2014/main" xmlns="" id="{00000000-0008-0000-0100-0000C1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62" name="TextBox 961">
          <a:extLst>
            <a:ext uri="{FF2B5EF4-FFF2-40B4-BE49-F238E27FC236}">
              <a16:creationId xmlns:a16="http://schemas.microsoft.com/office/drawing/2014/main" xmlns="" id="{00000000-0008-0000-0100-0000C2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63" name="TextBox 962">
          <a:extLst>
            <a:ext uri="{FF2B5EF4-FFF2-40B4-BE49-F238E27FC236}">
              <a16:creationId xmlns:a16="http://schemas.microsoft.com/office/drawing/2014/main" xmlns="" id="{00000000-0008-0000-0100-0000C3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64" name="TextBox 963">
          <a:extLst>
            <a:ext uri="{FF2B5EF4-FFF2-40B4-BE49-F238E27FC236}">
              <a16:creationId xmlns:a16="http://schemas.microsoft.com/office/drawing/2014/main" xmlns="" id="{00000000-0008-0000-0100-0000C4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65" name="TextBox 964">
          <a:extLst>
            <a:ext uri="{FF2B5EF4-FFF2-40B4-BE49-F238E27FC236}">
              <a16:creationId xmlns:a16="http://schemas.microsoft.com/office/drawing/2014/main" xmlns="" id="{00000000-0008-0000-0100-0000C5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66" name="TextBox 965">
          <a:extLst>
            <a:ext uri="{FF2B5EF4-FFF2-40B4-BE49-F238E27FC236}">
              <a16:creationId xmlns:a16="http://schemas.microsoft.com/office/drawing/2014/main" xmlns="" id="{00000000-0008-0000-0100-0000C6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67" name="TextBox 966">
          <a:extLst>
            <a:ext uri="{FF2B5EF4-FFF2-40B4-BE49-F238E27FC236}">
              <a16:creationId xmlns:a16="http://schemas.microsoft.com/office/drawing/2014/main" xmlns="" id="{00000000-0008-0000-0100-0000C7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68" name="TextBox 967">
          <a:extLst>
            <a:ext uri="{FF2B5EF4-FFF2-40B4-BE49-F238E27FC236}">
              <a16:creationId xmlns:a16="http://schemas.microsoft.com/office/drawing/2014/main" xmlns="" id="{00000000-0008-0000-0100-0000C8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69" name="TextBox 968">
          <a:extLst>
            <a:ext uri="{FF2B5EF4-FFF2-40B4-BE49-F238E27FC236}">
              <a16:creationId xmlns:a16="http://schemas.microsoft.com/office/drawing/2014/main" xmlns="" id="{00000000-0008-0000-0100-0000C9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70" name="TextBox 969">
          <a:extLst>
            <a:ext uri="{FF2B5EF4-FFF2-40B4-BE49-F238E27FC236}">
              <a16:creationId xmlns:a16="http://schemas.microsoft.com/office/drawing/2014/main" xmlns="" id="{00000000-0008-0000-0100-0000CA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71" name="TextBox 970">
          <a:extLst>
            <a:ext uri="{FF2B5EF4-FFF2-40B4-BE49-F238E27FC236}">
              <a16:creationId xmlns:a16="http://schemas.microsoft.com/office/drawing/2014/main" xmlns="" id="{00000000-0008-0000-0100-0000CB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72" name="TextBox 971">
          <a:extLst>
            <a:ext uri="{FF2B5EF4-FFF2-40B4-BE49-F238E27FC236}">
              <a16:creationId xmlns:a16="http://schemas.microsoft.com/office/drawing/2014/main" xmlns="" id="{00000000-0008-0000-0100-0000CC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73" name="TextBox 972">
          <a:extLst>
            <a:ext uri="{FF2B5EF4-FFF2-40B4-BE49-F238E27FC236}">
              <a16:creationId xmlns:a16="http://schemas.microsoft.com/office/drawing/2014/main" xmlns="" id="{00000000-0008-0000-0100-0000CD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74" name="TextBox 973">
          <a:extLst>
            <a:ext uri="{FF2B5EF4-FFF2-40B4-BE49-F238E27FC236}">
              <a16:creationId xmlns:a16="http://schemas.microsoft.com/office/drawing/2014/main" xmlns="" id="{00000000-0008-0000-0100-0000CE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75" name="TextBox 974">
          <a:extLst>
            <a:ext uri="{FF2B5EF4-FFF2-40B4-BE49-F238E27FC236}">
              <a16:creationId xmlns:a16="http://schemas.microsoft.com/office/drawing/2014/main" xmlns="" id="{00000000-0008-0000-0100-0000CF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76" name="TextBox 975">
          <a:extLst>
            <a:ext uri="{FF2B5EF4-FFF2-40B4-BE49-F238E27FC236}">
              <a16:creationId xmlns:a16="http://schemas.microsoft.com/office/drawing/2014/main" xmlns="" id="{00000000-0008-0000-0100-0000D0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77" name="TextBox 976">
          <a:extLst>
            <a:ext uri="{FF2B5EF4-FFF2-40B4-BE49-F238E27FC236}">
              <a16:creationId xmlns:a16="http://schemas.microsoft.com/office/drawing/2014/main" xmlns="" id="{00000000-0008-0000-0100-0000D1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78" name="TextBox 977">
          <a:extLst>
            <a:ext uri="{FF2B5EF4-FFF2-40B4-BE49-F238E27FC236}">
              <a16:creationId xmlns:a16="http://schemas.microsoft.com/office/drawing/2014/main" xmlns="" id="{00000000-0008-0000-0100-0000D2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79" name="TextBox 978">
          <a:extLst>
            <a:ext uri="{FF2B5EF4-FFF2-40B4-BE49-F238E27FC236}">
              <a16:creationId xmlns:a16="http://schemas.microsoft.com/office/drawing/2014/main" xmlns="" id="{00000000-0008-0000-0100-0000D3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80" name="TextBox 979">
          <a:extLst>
            <a:ext uri="{FF2B5EF4-FFF2-40B4-BE49-F238E27FC236}">
              <a16:creationId xmlns:a16="http://schemas.microsoft.com/office/drawing/2014/main" xmlns="" id="{00000000-0008-0000-0100-0000D4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81" name="TextBox 980">
          <a:extLst>
            <a:ext uri="{FF2B5EF4-FFF2-40B4-BE49-F238E27FC236}">
              <a16:creationId xmlns:a16="http://schemas.microsoft.com/office/drawing/2014/main" xmlns="" id="{00000000-0008-0000-0100-0000D5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82" name="TextBox 981">
          <a:extLst>
            <a:ext uri="{FF2B5EF4-FFF2-40B4-BE49-F238E27FC236}">
              <a16:creationId xmlns:a16="http://schemas.microsoft.com/office/drawing/2014/main" xmlns="" id="{00000000-0008-0000-0100-0000D6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83" name="TextBox 982">
          <a:extLst>
            <a:ext uri="{FF2B5EF4-FFF2-40B4-BE49-F238E27FC236}">
              <a16:creationId xmlns:a16="http://schemas.microsoft.com/office/drawing/2014/main" xmlns="" id="{00000000-0008-0000-0100-0000D7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84" name="TextBox 983">
          <a:extLst>
            <a:ext uri="{FF2B5EF4-FFF2-40B4-BE49-F238E27FC236}">
              <a16:creationId xmlns:a16="http://schemas.microsoft.com/office/drawing/2014/main" xmlns="" id="{00000000-0008-0000-0100-0000D8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85" name="TextBox 984">
          <a:extLst>
            <a:ext uri="{FF2B5EF4-FFF2-40B4-BE49-F238E27FC236}">
              <a16:creationId xmlns:a16="http://schemas.microsoft.com/office/drawing/2014/main" xmlns="" id="{00000000-0008-0000-0100-0000D9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86" name="TextBox 985">
          <a:extLst>
            <a:ext uri="{FF2B5EF4-FFF2-40B4-BE49-F238E27FC236}">
              <a16:creationId xmlns:a16="http://schemas.microsoft.com/office/drawing/2014/main" xmlns="" id="{00000000-0008-0000-0100-0000DA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87" name="TextBox 986">
          <a:extLst>
            <a:ext uri="{FF2B5EF4-FFF2-40B4-BE49-F238E27FC236}">
              <a16:creationId xmlns:a16="http://schemas.microsoft.com/office/drawing/2014/main" xmlns="" id="{00000000-0008-0000-0100-0000DB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88" name="TextBox 987">
          <a:extLst>
            <a:ext uri="{FF2B5EF4-FFF2-40B4-BE49-F238E27FC236}">
              <a16:creationId xmlns:a16="http://schemas.microsoft.com/office/drawing/2014/main" xmlns="" id="{00000000-0008-0000-0100-0000DC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89" name="TextBox 988">
          <a:extLst>
            <a:ext uri="{FF2B5EF4-FFF2-40B4-BE49-F238E27FC236}">
              <a16:creationId xmlns:a16="http://schemas.microsoft.com/office/drawing/2014/main" xmlns="" id="{00000000-0008-0000-0100-0000DD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90" name="TextBox 989">
          <a:extLst>
            <a:ext uri="{FF2B5EF4-FFF2-40B4-BE49-F238E27FC236}">
              <a16:creationId xmlns:a16="http://schemas.microsoft.com/office/drawing/2014/main" xmlns="" id="{00000000-0008-0000-0100-0000DE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91" name="TextBox 990">
          <a:extLst>
            <a:ext uri="{FF2B5EF4-FFF2-40B4-BE49-F238E27FC236}">
              <a16:creationId xmlns:a16="http://schemas.microsoft.com/office/drawing/2014/main" xmlns="" id="{00000000-0008-0000-0100-0000DF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92" name="TextBox 991">
          <a:extLst>
            <a:ext uri="{FF2B5EF4-FFF2-40B4-BE49-F238E27FC236}">
              <a16:creationId xmlns:a16="http://schemas.microsoft.com/office/drawing/2014/main" xmlns="" id="{00000000-0008-0000-0100-0000E0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93" name="TextBox 992">
          <a:extLst>
            <a:ext uri="{FF2B5EF4-FFF2-40B4-BE49-F238E27FC236}">
              <a16:creationId xmlns:a16="http://schemas.microsoft.com/office/drawing/2014/main" xmlns="" id="{00000000-0008-0000-0100-0000E1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94" name="TextBox 993">
          <a:extLst>
            <a:ext uri="{FF2B5EF4-FFF2-40B4-BE49-F238E27FC236}">
              <a16:creationId xmlns:a16="http://schemas.microsoft.com/office/drawing/2014/main" xmlns="" id="{00000000-0008-0000-0100-0000E2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95" name="TextBox 994">
          <a:extLst>
            <a:ext uri="{FF2B5EF4-FFF2-40B4-BE49-F238E27FC236}">
              <a16:creationId xmlns:a16="http://schemas.microsoft.com/office/drawing/2014/main" xmlns="" id="{00000000-0008-0000-0100-0000E3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96" name="TextBox 995">
          <a:extLst>
            <a:ext uri="{FF2B5EF4-FFF2-40B4-BE49-F238E27FC236}">
              <a16:creationId xmlns:a16="http://schemas.microsoft.com/office/drawing/2014/main" xmlns="" id="{00000000-0008-0000-0100-0000E4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97" name="TextBox 996">
          <a:extLst>
            <a:ext uri="{FF2B5EF4-FFF2-40B4-BE49-F238E27FC236}">
              <a16:creationId xmlns:a16="http://schemas.microsoft.com/office/drawing/2014/main" xmlns="" id="{00000000-0008-0000-0100-0000E5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98" name="TextBox 997">
          <a:extLst>
            <a:ext uri="{FF2B5EF4-FFF2-40B4-BE49-F238E27FC236}">
              <a16:creationId xmlns:a16="http://schemas.microsoft.com/office/drawing/2014/main" xmlns="" id="{00000000-0008-0000-0100-0000E6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999" name="TextBox 998">
          <a:extLst>
            <a:ext uri="{FF2B5EF4-FFF2-40B4-BE49-F238E27FC236}">
              <a16:creationId xmlns:a16="http://schemas.microsoft.com/office/drawing/2014/main" xmlns="" id="{00000000-0008-0000-0100-0000E7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00" name="TextBox 999">
          <a:extLst>
            <a:ext uri="{FF2B5EF4-FFF2-40B4-BE49-F238E27FC236}">
              <a16:creationId xmlns:a16="http://schemas.microsoft.com/office/drawing/2014/main" xmlns="" id="{00000000-0008-0000-0100-0000E8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01" name="TextBox 1000">
          <a:extLst>
            <a:ext uri="{FF2B5EF4-FFF2-40B4-BE49-F238E27FC236}">
              <a16:creationId xmlns:a16="http://schemas.microsoft.com/office/drawing/2014/main" xmlns="" id="{00000000-0008-0000-0100-0000E9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02" name="TextBox 1001">
          <a:extLst>
            <a:ext uri="{FF2B5EF4-FFF2-40B4-BE49-F238E27FC236}">
              <a16:creationId xmlns:a16="http://schemas.microsoft.com/office/drawing/2014/main" xmlns="" id="{00000000-0008-0000-0100-0000EA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03" name="TextBox 1002">
          <a:extLst>
            <a:ext uri="{FF2B5EF4-FFF2-40B4-BE49-F238E27FC236}">
              <a16:creationId xmlns:a16="http://schemas.microsoft.com/office/drawing/2014/main" xmlns="" id="{00000000-0008-0000-0100-0000EB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04" name="TextBox 1003">
          <a:extLst>
            <a:ext uri="{FF2B5EF4-FFF2-40B4-BE49-F238E27FC236}">
              <a16:creationId xmlns:a16="http://schemas.microsoft.com/office/drawing/2014/main" xmlns="" id="{00000000-0008-0000-0100-0000EC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05" name="TextBox 1004">
          <a:extLst>
            <a:ext uri="{FF2B5EF4-FFF2-40B4-BE49-F238E27FC236}">
              <a16:creationId xmlns:a16="http://schemas.microsoft.com/office/drawing/2014/main" xmlns="" id="{00000000-0008-0000-0100-0000ED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06" name="TextBox 1005">
          <a:extLst>
            <a:ext uri="{FF2B5EF4-FFF2-40B4-BE49-F238E27FC236}">
              <a16:creationId xmlns:a16="http://schemas.microsoft.com/office/drawing/2014/main" xmlns="" id="{00000000-0008-0000-0100-0000EE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07" name="TextBox 1006">
          <a:extLst>
            <a:ext uri="{FF2B5EF4-FFF2-40B4-BE49-F238E27FC236}">
              <a16:creationId xmlns:a16="http://schemas.microsoft.com/office/drawing/2014/main" xmlns="" id="{00000000-0008-0000-0100-0000EF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08" name="TextBox 1007">
          <a:extLst>
            <a:ext uri="{FF2B5EF4-FFF2-40B4-BE49-F238E27FC236}">
              <a16:creationId xmlns:a16="http://schemas.microsoft.com/office/drawing/2014/main" xmlns="" id="{00000000-0008-0000-0100-0000F0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09" name="TextBox 1008">
          <a:extLst>
            <a:ext uri="{FF2B5EF4-FFF2-40B4-BE49-F238E27FC236}">
              <a16:creationId xmlns:a16="http://schemas.microsoft.com/office/drawing/2014/main" xmlns="" id="{00000000-0008-0000-0100-0000F1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10" name="TextBox 1009">
          <a:extLst>
            <a:ext uri="{FF2B5EF4-FFF2-40B4-BE49-F238E27FC236}">
              <a16:creationId xmlns:a16="http://schemas.microsoft.com/office/drawing/2014/main" xmlns="" id="{00000000-0008-0000-0100-0000F2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11" name="TextBox 1010">
          <a:extLst>
            <a:ext uri="{FF2B5EF4-FFF2-40B4-BE49-F238E27FC236}">
              <a16:creationId xmlns:a16="http://schemas.microsoft.com/office/drawing/2014/main" xmlns="" id="{00000000-0008-0000-0100-0000F3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12" name="TextBox 1011">
          <a:extLst>
            <a:ext uri="{FF2B5EF4-FFF2-40B4-BE49-F238E27FC236}">
              <a16:creationId xmlns:a16="http://schemas.microsoft.com/office/drawing/2014/main" xmlns="" id="{00000000-0008-0000-0100-0000F4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13" name="TextBox 1012">
          <a:extLst>
            <a:ext uri="{FF2B5EF4-FFF2-40B4-BE49-F238E27FC236}">
              <a16:creationId xmlns:a16="http://schemas.microsoft.com/office/drawing/2014/main" xmlns="" id="{00000000-0008-0000-0100-0000F5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14" name="TextBox 1013">
          <a:extLst>
            <a:ext uri="{FF2B5EF4-FFF2-40B4-BE49-F238E27FC236}">
              <a16:creationId xmlns:a16="http://schemas.microsoft.com/office/drawing/2014/main" xmlns="" id="{00000000-0008-0000-0100-0000F6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15" name="TextBox 1014">
          <a:extLst>
            <a:ext uri="{FF2B5EF4-FFF2-40B4-BE49-F238E27FC236}">
              <a16:creationId xmlns:a16="http://schemas.microsoft.com/office/drawing/2014/main" xmlns="" id="{00000000-0008-0000-0100-0000F7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16" name="TextBox 1015">
          <a:extLst>
            <a:ext uri="{FF2B5EF4-FFF2-40B4-BE49-F238E27FC236}">
              <a16:creationId xmlns:a16="http://schemas.microsoft.com/office/drawing/2014/main" xmlns="" id="{00000000-0008-0000-0100-0000F8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17" name="TextBox 1016">
          <a:extLst>
            <a:ext uri="{FF2B5EF4-FFF2-40B4-BE49-F238E27FC236}">
              <a16:creationId xmlns:a16="http://schemas.microsoft.com/office/drawing/2014/main" xmlns="" id="{00000000-0008-0000-0100-0000F9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18" name="TextBox 1017">
          <a:extLst>
            <a:ext uri="{FF2B5EF4-FFF2-40B4-BE49-F238E27FC236}">
              <a16:creationId xmlns:a16="http://schemas.microsoft.com/office/drawing/2014/main" xmlns="" id="{00000000-0008-0000-0100-0000FA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19" name="TextBox 1018">
          <a:extLst>
            <a:ext uri="{FF2B5EF4-FFF2-40B4-BE49-F238E27FC236}">
              <a16:creationId xmlns:a16="http://schemas.microsoft.com/office/drawing/2014/main" xmlns="" id="{00000000-0008-0000-0100-0000FB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20" name="TextBox 1019">
          <a:extLst>
            <a:ext uri="{FF2B5EF4-FFF2-40B4-BE49-F238E27FC236}">
              <a16:creationId xmlns:a16="http://schemas.microsoft.com/office/drawing/2014/main" xmlns="" id="{00000000-0008-0000-0100-0000FC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669131</xdr:colOff>
      <xdr:row>72</xdr:row>
      <xdr:rowOff>0</xdr:rowOff>
    </xdr:from>
    <xdr:ext cx="184731" cy="264560"/>
    <xdr:sp macro="" textlink="">
      <xdr:nvSpPr>
        <xdr:cNvPr id="1021" name="TextBox 1020">
          <a:extLst>
            <a:ext uri="{FF2B5EF4-FFF2-40B4-BE49-F238E27FC236}">
              <a16:creationId xmlns:a16="http://schemas.microsoft.com/office/drawing/2014/main" xmlns="" id="{00000000-0008-0000-0100-0000FD030000}"/>
            </a:ext>
          </a:extLst>
        </xdr:cNvPr>
        <xdr:cNvSpPr txBox="1"/>
      </xdr:nvSpPr>
      <xdr:spPr>
        <a:xfrm>
          <a:off x="11328848" y="305793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arakids" refreshedDate="45279.518537731485" createdVersion="3" refreshedVersion="3" minRefreshableVersion="3" recordCount="748">
  <cacheSource type="worksheet">
    <worksheetSource ref="A4:Z178" sheet="All"/>
  </cacheSource>
  <cacheFields count="26">
    <cacheField name="No." numFmtId="0">
      <sharedItems containsString="0" containsBlank="1" containsNumber="1" containsInteger="1" minValue="1" maxValue="54"/>
    </cacheField>
    <cacheField name="Month" numFmtId="165">
      <sharedItems containsSemiMixedTypes="0" containsNonDate="0" containsDate="1" containsString="0" minDate="2022-01-01T00:00:00" maxDate="2023-11-02T00:00:00" count="18">
        <d v="2022-01-01T00:00:00"/>
        <d v="2023-01-01T00:00:00"/>
        <d v="2023-02-01T00:00:00"/>
        <d v="2022-02-01T00:00:00"/>
        <d v="2023-03-01T00:00:00"/>
        <d v="2022-03-01T00:00:00"/>
        <d v="2022-04-01T00:00:00"/>
        <d v="2022-05-01T00:00:00"/>
        <d v="2022-06-01T00:00:00"/>
        <d v="2022-07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Section" numFmtId="0">
      <sharedItems count="2">
        <s v="VRT"/>
        <s v="HRZ"/>
      </sharedItems>
    </cacheField>
    <cacheField name="class" numFmtId="0">
      <sharedItems/>
    </cacheField>
    <cacheField name="MC" numFmtId="0">
      <sharedItems count="32">
        <s v="11A"/>
        <s v="11B"/>
        <s v="V6B"/>
        <s v="V8A"/>
        <s v="12B"/>
        <s v="V8C"/>
        <s v="V8D"/>
        <s v="V4A"/>
        <s v="V9A"/>
        <s v="VOB"/>
        <s v="V9B"/>
        <s v="12A"/>
        <s v="H3A"/>
        <s v="H3B"/>
        <s v="H2A"/>
        <s v="V8B"/>
        <s v="V6A"/>
        <s v="V4B"/>
        <s v="H1B"/>
        <s v="H76"/>
        <s v="H1A"/>
        <s v="H52"/>
        <s v="H2B"/>
        <s v="VOA"/>
        <s v="Adv"/>
        <s v="V1A"/>
        <s v="H4B"/>
        <s v="H4A"/>
        <s v="H5B"/>
        <s v="H5A"/>
        <s v="V1B"/>
        <s v="H77"/>
      </sharedItems>
    </cacheField>
    <cacheField name="Type" numFmtId="0">
      <sharedItems/>
    </cacheField>
    <cacheField name="Issued By" numFmtId="0">
      <sharedItems count="2">
        <s v="QCDR"/>
        <s v="PTR"/>
      </sharedItems>
    </cacheField>
    <cacheField name="Size" numFmtId="0">
      <sharedItems containsSemiMixedTypes="0" containsString="0" containsNumber="1" minValue="0.13" maxValue="2.7"/>
    </cacheField>
    <cacheField name="Customer" numFmtId="0">
      <sharedItems/>
    </cacheField>
    <cacheField name="Masalah" numFmtId="0">
      <sharedItems containsBlank="1"/>
    </cacheField>
    <cacheField name="Penyebab Masalah" numFmtId="0">
      <sharedItems containsBlank="1" count="136">
        <s v="Wire Break. Cn 2 Wire Stuck di New Lite Pipa Sebeleum Inline"/>
        <s v="Level Oil Kurang"/>
        <m/>
        <s v="APP Sure"/>
        <s v="Tension Inline High"/>
        <s v="S/U Cek Small"/>
        <s v="Wire Fibrasi Step Ke 1"/>
        <s v="Temp. Lower Tidak Mau Naik"/>
        <s v="Cn 5 WS Winding Fluktuasi "/>
        <s v="Stopper Dies Tidak Centering"/>
        <s v="- Kurang Teliti Saat Cek Semua Kondisi - Double Cek Setelah Start Up"/>
        <s v="Temp. Oven Panasnya Kurang Maksimal"/>
        <s v="Turn Table Eror"/>
        <s v="Felt Kotor"/>
        <s v="Dies Up"/>
        <s v="Wire Fibrasi Cn 8 -9 Step 1"/>
        <s v="Varnish NH 824242 + HS 101 Kecampur Varnish Liton 3745"/>
        <s v="Temperatur Oven Kurang Panas"/>
        <s v="No Action"/>
        <s v="Dies Inline Kotor"/>
        <s v="Dies Coating Kotor &amp; Tension Low"/>
        <s v="Dies Kotor"/>
        <s v="Break Tension"/>
        <s v="Adjuster Traverse Kurang Pas"/>
        <s v="Traverse Winding Kurang Pas"/>
        <s v="Isi Oil P2"/>
        <s v="F. Dies Kurang Center"/>
        <s v="SE Small"/>
        <s v="Sudah Terpacking"/>
        <s v="S/U Cek QC M-TAN Small"/>
        <s v="Barewire Kejepit Fleng Bagian Bawah Basket"/>
        <s v="Wire Break Di mc Inline FD Cn 2"/>
        <s v="Dip Voltage"/>
        <s v="Felt After Inline Kotor"/>
        <s v="WS Turn Table Fluktuasi. Dari 18.3 ---&gt; 20.3"/>
        <s v="Still Evaluation PE"/>
        <s v="When Spool Change"/>
        <s v="Size Overall Dia Meter Melebihi Toleransi"/>
        <s v="New Lite After Capstand FP-500 Kendor , Wire Nyentuh Stand New Lite"/>
        <s v="Tidak Diketahui"/>
        <s v="Temperature Catalyst, Heater Tidak Record"/>
        <s v="Back Sheave Miring"/>
        <s v="Dies Sudah Kotor"/>
        <s v="Gulungan Keluar (Dalam)"/>
        <s v="Wire Break"/>
        <s v="Sambungan Kabel Pressure Box Nempel Ke Body Mesin Oven"/>
        <s v="Kejatuhan Debu Dilap"/>
        <s v="Kejatuhan Debu Atap (Hujan Es)"/>
        <s v="- Felt Kotor - Pemberat Felt Dilonggarkan"/>
        <s v="MCH Salah Koneksi Kabel"/>
        <s v="Mc Stop / Fp"/>
        <s v="Pompa Pressure Error"/>
        <s v="Pompa Varnish Error (Motor Pressure)"/>
        <s v="Belum Diketahui"/>
        <s v="Cover Sheave Tidak Rapat Sehingga Wire Bis Keluar Jalur"/>
        <s v="Pallet Tabrak Tiang Packing"/>
        <s v="Motor Blower Mati"/>
        <s v="Dancer Inline Tidak Stabil"/>
        <s v="Dancer Tension Inline Not Stabil"/>
        <s v="Tension Lemah"/>
        <s v="Tension Kuat"/>
        <s v="Capstand FP-500 Fluktuasi"/>
        <s v="Supplay Buka Tutup Varnish"/>
        <s v="Dies Coating Bocor"/>
        <s v="Dies Coat Bocor Step 1"/>
        <s v="FD Kotor"/>
        <s v="After SU (History Temp. Down S.C)"/>
        <s v="Dancer Inline Mc Tak Stabil"/>
        <s v="Temperature Oven Kurang Panas"/>
        <s v="Dancer Tension Tidak Stabil"/>
        <s v="- Wire Fibration in Oven - 1mp Totoku Varnish"/>
        <s v="Level Oil Berkurang"/>
        <s v="Tension High"/>
        <s v="Dies Coating Kotor"/>
        <s v="Tension Winding High"/>
        <s v="Program NG"/>
        <s v="Temperature Oven Terlalu Panas"/>
        <s v="Pulley Touch Body"/>
        <s v="Controller Temperature Supply Air Heater Broken"/>
        <s v="Tidak Ada Indikasi Varnish Sample Ditangki Sirkulasi"/>
        <s v="Upper Sheave NG No. 3.4.6"/>
        <s v="Primary Coat Alarm"/>
        <s v="Controller Kotor"/>
        <s v="UPS Battery Alarm"/>
        <s v="Dies Was Dirty"/>
        <s v="Ganti Dies Kotor"/>
        <s v="Tension Terlalu Kuat"/>
        <s v="Tension Terlalu Kencang"/>
        <s v="Baru Start Up"/>
        <s v="Mungkin Speed Roll Oil Kecepatannya Kurang"/>
        <s v="Tension WS Low"/>
        <s v="Wire Gesek Disisi Roll"/>
        <s v="Tension T/U Kencang Tarikannya"/>
        <s v="Produk Rework"/>
        <s v="Tension Kendor Karena Full Winding"/>
        <s v="Pompa HI-406-R35 Eror / Rusak"/>
        <s v="Laser Micro Alarm (No Alarm)"/>
        <s v="Produk Wire Break"/>
        <s v="Sensor Alarm Primary Coat Belum Nyala"/>
        <s v="Roller Speed SPB-200 TinggI"/>
        <s v="Common Alarm Rusak"/>
        <s v="Breaker Temperature Upper Evap Heater Turun"/>
        <s v="Temperature P.B Burn Out dari 01.30 ~ 07.45"/>
        <s v="Data Print Out Macet Saat Spool Change. Aktual Produk Ok, Tidak Ada Alarm"/>
        <s v="Spooler / T/U CP-500 cn 5 Tidak Terkunci (Produk Bergeser)"/>
        <s v="Susunan Dies Coating Terlalu Besar"/>
        <s v="Susunan Step Dies"/>
        <s v="Tension Kendor"/>
        <s v="Tension Kecil"/>
        <s v="Speed Roll Coater Oil Terlalu Cepat 300Rpm"/>
        <s v="Dies Coating"/>
        <s v="Switch Traverse Winding Kurang Naik"/>
        <s v="Tension T/U Kuat"/>
        <s v="Mc Wire Break"/>
        <s v="Cn 1.10 Wire Dempet Step 1"/>
        <s v="- Sheave Makitori Kotor - Rulles SPB Kurang Zig-zag"/>
        <s v="Tidak Diketahui, Karena Tidak Terjadi Alarm di Mesin"/>
        <s v="Varnish Under Coat (Liton) Tidak Keluar (Supply)"/>
        <s v="Bunyi Alarm Laser Micro"/>
        <s v="WS Coater SPB-200 Oil Tinggi"/>
        <s v="Alarm Saat Ganti Kain Neru"/>
        <s v="Banyak C-Oil di Sheave Makitori"/>
        <s v="Cn 5 Spooler Off"/>
        <s v="Wire Fibrasi"/>
        <s v="Neru Kotor"/>
        <s v="Temperature Annealer Inlet Belum Disetting Sesuai Standard"/>
        <s v="Cn 9.10 Step 1 Dempet"/>
        <s v="Tension Terlalu Kuat (Full Winding)"/>
        <s v="- Dies Kotor - Saat Centering Kurang Teliti"/>
        <s v="Kurang Proses Checking App"/>
        <s v="- Kurang Awas - Lengket Saat Spool Kosong Masih Menyatu"/>
        <s v="Flange Bagian Bawah ---&gt; Debu, Kering"/>
        <s v="- Miss Setting - Indikasi Dalam Panel Kurang Jelas"/>
        <s v="Dies Coating Naik"/>
        <s v="Advance Sample OD Big"/>
        <s v="Tension Low"/>
      </sharedItems>
    </cacheField>
    <cacheField name="Tindakan perbaikan" numFmtId="0">
      <sharedItems containsBlank="1"/>
    </cacheField>
    <cacheField name="Occurence" numFmtId="0">
      <sharedItems containsNonDate="0" containsString="0" containsBlank="1"/>
    </cacheField>
    <cacheField name="Lot No." numFmtId="0">
      <sharedItems/>
    </cacheField>
    <cacheField name="T/u" numFmtId="0">
      <sharedItems containsMixedTypes="1" containsNumber="1" containsInteger="1" minValue="1" maxValue="18"/>
    </cacheField>
    <cacheField name="C/n" numFmtId="0">
      <sharedItems containsDate="1" containsBlank="1" containsMixedTypes="1" minDate="1899-12-31T04:01:03" maxDate="1899-12-31T00:37:04"/>
    </cacheField>
    <cacheField name="Qty Reel" numFmtId="0">
      <sharedItems containsBlank="1" containsMixedTypes="1" containsNumber="1" containsInteger="1" minValue="1" maxValue="84"/>
    </cacheField>
    <cacheField name="Issued_x000a_date" numFmtId="0">
      <sharedItems containsSemiMixedTypes="0" containsNonDate="0" containsDate="1" containsString="0" minDate="1899-12-31T00:00:00" maxDate="2023-12-01T00:00:00"/>
    </cacheField>
    <cacheField name="Finished_x000a_date" numFmtId="0">
      <sharedItems containsDate="1" containsBlank="1" containsMixedTypes="1" minDate="1930-02-01T00:00:00" maxDate="2023-12-05T00:00:00"/>
    </cacheField>
    <cacheField name="PTR Status" numFmtId="0">
      <sharedItems/>
    </cacheField>
    <cacheField name="OK _x000a_Reel" numFmtId="0">
      <sharedItems containsBlank="1" containsMixedTypes="1" containsNumber="1" containsInteger="1" minValue="0" maxValue="84"/>
    </cacheField>
    <cacheField name="NG _x000a_Reel" numFmtId="0">
      <sharedItems containsMixedTypes="1" containsNumber="1" containsInteger="1" minValue="0" maxValue="17"/>
    </cacheField>
    <cacheField name="Passed_x000a_by" numFmtId="0">
      <sharedItems/>
    </cacheField>
    <cacheField name="TYpeSizeee" numFmtId="0">
      <sharedItems containsBlank="1" count="62">
        <s v="2PEW0.77"/>
        <s v="2PEW0.82"/>
        <s v="2EIWAD1.5"/>
        <s v="1PEW2.3"/>
        <s v="D1-IDW-41.15"/>
        <s v="2PEW0.9"/>
        <s v="1EIWAD-S1.6"/>
        <s v="D2IDW4A-10.58"/>
        <s v="D2IDW4A-10.554"/>
        <s v="2EIWAD-O1.65"/>
        <s v="D2-PEW-B-10.5"/>
        <s v="1AIW0.9"/>
        <s v="0FBWSHC0.95"/>
        <s v="2PEW0.8"/>
        <s v="1PEW2"/>
        <s v="D2IDW-4-B-20.7"/>
        <s v="0FBWCC1.1"/>
        <s v="2EIWAD-P1.25"/>
        <s v="D1-PEW-B-2Y0.8"/>
        <s v="0FBWSHC1.1"/>
        <s v="2EIWAD-O1.81"/>
        <s v="D2IDW-4-B-20.65"/>
        <s v="1AIWP1.35"/>
        <s v="2PEW0.35"/>
        <s v="D2IDW4-B-20.26"/>
        <s v="2PEW0.7"/>
        <s v="2PEW0.67"/>
        <s v="2AIW0.6"/>
        <s v="1HGZ-MA1.18"/>
        <s v="2EIWAD-SS1.4"/>
        <s v="D2IDW-4-B-20.44"/>
        <s v="1AIWP1.05"/>
        <s v="D2DSW20.5"/>
        <s v="D2-IDW-4E0.83"/>
        <s v="0FBWSHC1.2"/>
        <s v="1FBWCC1"/>
        <s v="1-ATZ-3001.25"/>
        <s v="2PEW0.73"/>
        <s v="1PEW1.7"/>
        <s v="D1-PEW-B-2T0.56"/>
        <s v="D1IDW-4-B-11.7"/>
        <s v="2AIW0.21"/>
        <s v="2AIW0.16"/>
        <s v="2EIWAD-OP1.25"/>
        <s v="2PEW0.75"/>
        <s v="1AIW0.29"/>
        <s v="2AIWP0.25"/>
        <s v="1UEW0.4"/>
        <s v="D2IDW4-B-20.25"/>
        <s v="D2IDW4-B-20.31"/>
        <s v="2PEW0.6"/>
        <s v="2-ATZ-3000.35"/>
        <s v="2PEW0.85"/>
        <s v="D1-PEW-B-2T0.6"/>
        <s v="2EIWAD-OP1.81"/>
        <s v="2EIWAD-P1.15"/>
        <s v="1AIW1.1"/>
        <s v="2EIWAD-OP1.61"/>
        <s v="2PEW0.87"/>
        <s v="2EIWAD-SS1.27"/>
        <s v="2EIWAD-EPS1.25"/>
        <m/>
      </sharedItems>
    </cacheField>
    <cacheField name="Remarks" numFmtId="0">
      <sharedItems/>
    </cacheField>
    <cacheField name="Column1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48">
  <r>
    <n v="1"/>
    <x v="0"/>
    <x v="0"/>
    <s v="sedang"/>
    <x v="0"/>
    <s v="2PEW"/>
    <x v="0"/>
    <n v="0.77"/>
    <s v="MEAINA"/>
    <s v="CD Small"/>
    <x v="0"/>
    <s v="Adjust Slidak (Tunggu Spool Change)"/>
    <m/>
    <s v="11A2105"/>
    <s v="002"/>
    <n v="5"/>
    <n v="1"/>
    <d v="2022-01-06T00:00:00"/>
    <d v="2022-01-10T00:00:00"/>
    <s v="Closed"/>
    <n v="1"/>
    <n v="0"/>
    <s v="Mr. Koko"/>
    <x v="0"/>
    <s v="SPECIAL PASS OK"/>
    <m/>
  </r>
  <r>
    <n v="2"/>
    <x v="0"/>
    <x v="0"/>
    <s v="sedang"/>
    <x v="1"/>
    <s v="2PEW"/>
    <x v="0"/>
    <n v="0.82"/>
    <s v="MELCO / MEAINA"/>
    <s v="Qty Horiba Small"/>
    <x v="1"/>
    <s v="Tambah Level Oil"/>
    <m/>
    <s v="11B2103"/>
    <n v="1"/>
    <s v="1"/>
    <n v="1"/>
    <d v="2022-01-04T00:00:00"/>
    <d v="2022-01-10T00:00:00"/>
    <s v="Closed"/>
    <n v="1"/>
    <n v="0"/>
    <s v="Mr. Koko"/>
    <x v="1"/>
    <s v="SPECIAL PASS OK"/>
    <m/>
  </r>
  <r>
    <n v="3"/>
    <x v="0"/>
    <x v="0"/>
    <s v="sedang"/>
    <x v="2"/>
    <s v="2EIWAD"/>
    <x v="0"/>
    <n v="1.5"/>
    <s v="MEAINA"/>
    <s v="M-TAN Small"/>
    <x v="2"/>
    <s v="Temp. Cure Heater &amp; Catalyst Dinaikkan 5°C"/>
    <m/>
    <s v="V6B2104"/>
    <n v="1"/>
    <s v="1 S/D 5"/>
    <n v="5"/>
    <d v="2022-01-04T00:00:00"/>
    <d v="2022-01-10T00:00:00"/>
    <s v="Closed"/>
    <n v="1"/>
    <n v="0"/>
    <s v="Mr. Koko"/>
    <x v="2"/>
    <s v="SPECIAL PASS OK"/>
    <m/>
  </r>
  <r>
    <n v="4"/>
    <x v="1"/>
    <x v="0"/>
    <s v="sedang"/>
    <x v="3"/>
    <s v="1PEW"/>
    <x v="0"/>
    <n v="2.2999999999999998"/>
    <s v="SEI-OEM"/>
    <s v="CD Small"/>
    <x v="2"/>
    <s v="WS Inline Nail 17.19 ---&gt; 17.27"/>
    <m/>
    <s v="V8A3124"/>
    <n v="18"/>
    <n v="1"/>
    <n v="1"/>
    <d v="2023-01-24T00:00:00"/>
    <d v="2022-01-10T00:00:00"/>
    <s v="Closed"/>
    <n v="1"/>
    <n v="0"/>
    <s v="Mr. Koko"/>
    <x v="3"/>
    <s v="SPECIAL PASS OK"/>
    <m/>
  </r>
  <r>
    <n v="5"/>
    <x v="1"/>
    <x v="0"/>
    <s v="sedang"/>
    <x v="4"/>
    <s v="D1-IDW-4"/>
    <x v="1"/>
    <n v="1.1499999999999999"/>
    <s v="DENSO FAJAR"/>
    <s v="Grade Beda 1.5"/>
    <x v="2"/>
    <s v="Ganti BW Sesuai Grade"/>
    <m/>
    <s v="12B3114"/>
    <s v="003.001.002"/>
    <s v="1 S/D 5"/>
    <n v="15"/>
    <d v="2023-01-14T00:00:00"/>
    <d v="2023-01-18T00:00:00"/>
    <s v="Closed"/>
    <n v="15"/>
    <n v="0"/>
    <s v="Mr. Koko"/>
    <x v="4"/>
    <s v="SPECIAL PASS OK"/>
    <m/>
  </r>
  <r>
    <n v="6"/>
    <x v="0"/>
    <x v="0"/>
    <s v="sedang"/>
    <x v="1"/>
    <s v="2PEW"/>
    <x v="0"/>
    <n v="0.82"/>
    <s v="MELCO"/>
    <s v="APP Sure"/>
    <x v="3"/>
    <s v="Adjust Felt After Inline"/>
    <m/>
    <s v="11B2105"/>
    <n v="3"/>
    <n v="1"/>
    <n v="1"/>
    <d v="2022-01-05T00:00:00"/>
    <d v="2022-01-14T00:00:00"/>
    <s v="Closed"/>
    <n v="0"/>
    <n v="1"/>
    <s v="Mr. Koko"/>
    <x v="1"/>
    <s v="PRODUCT DISCRAPE"/>
    <m/>
  </r>
  <r>
    <n v="7"/>
    <x v="0"/>
    <x v="0"/>
    <s v="sedang"/>
    <x v="0"/>
    <s v="2PEW"/>
    <x v="0"/>
    <n v="0.77"/>
    <s v="MEAINA"/>
    <s v="CD Kecil"/>
    <x v="2"/>
    <s v="Fp"/>
    <m/>
    <s v="11A2106"/>
    <n v="1"/>
    <n v="5"/>
    <n v="1"/>
    <d v="2022-01-07T00:00:00"/>
    <d v="2022-01-14T00:00:00"/>
    <s v="Closed"/>
    <n v="1"/>
    <n v="0"/>
    <s v="Mr. Koko"/>
    <x v="0"/>
    <s v="SPECIAL PASS OK"/>
    <m/>
  </r>
  <r>
    <n v="8"/>
    <x v="0"/>
    <x v="0"/>
    <s v="sedang"/>
    <x v="1"/>
    <s v="2PEW"/>
    <x v="0"/>
    <n v="0.9"/>
    <s v="MELCO"/>
    <s v="CD Kecil"/>
    <x v="2"/>
    <s v="Adjust Tension Diturunkan "/>
    <m/>
    <s v="11B2107"/>
    <s v="001"/>
    <n v="1"/>
    <n v="1"/>
    <d v="2022-01-07T00:00:00"/>
    <d v="2022-01-14T00:00:00"/>
    <s v="Closed"/>
    <n v="1"/>
    <n v="0"/>
    <s v="Mr. Koko"/>
    <x v="5"/>
    <s v="SPECIAL PASS OK"/>
    <m/>
  </r>
  <r>
    <n v="9"/>
    <x v="0"/>
    <x v="0"/>
    <s v="sedang"/>
    <x v="1"/>
    <s v="2PEW"/>
    <x v="0"/>
    <n v="0.9"/>
    <s v="MELCO / MEAINA"/>
    <s v="CD Small"/>
    <x v="4"/>
    <m/>
    <m/>
    <s v="11B2107"/>
    <s v="004 &amp; 005"/>
    <n v="1"/>
    <n v="2"/>
    <d v="2022-01-08T00:00:00"/>
    <d v="2022-01-14T00:00:00"/>
    <s v="Closed"/>
    <n v="2"/>
    <n v="0"/>
    <s v="Mr. Koko"/>
    <x v="5"/>
    <s v="SPECIAL PASS OK"/>
    <m/>
  </r>
  <r>
    <n v="10"/>
    <x v="0"/>
    <x v="0"/>
    <s v="sedang"/>
    <x v="2"/>
    <s v="1EIWAD-S"/>
    <x v="0"/>
    <n v="1.6"/>
    <s v="MEAINA"/>
    <s v="M-TAN Small"/>
    <x v="5"/>
    <s v="-Adjust Temp. Cure + Evap Dinaikkan 5°C -Adjust Temp. Catalyst + Lower Dinaikkan 10°C"/>
    <m/>
    <s v="V6B2109"/>
    <s v="Start-up"/>
    <s v="1 S/D 5"/>
    <n v="5"/>
    <d v="2022-01-09T00:00:00"/>
    <d v="2022-01-14T00:00:00"/>
    <s v="Closed"/>
    <n v="5"/>
    <n v="0"/>
    <s v="Mr. Koko"/>
    <x v="6"/>
    <s v="SPECIAL PASS OK"/>
    <m/>
  </r>
  <r>
    <n v="11"/>
    <x v="1"/>
    <x v="0"/>
    <s v="sedang"/>
    <x v="5"/>
    <s v="D2IDW4A-1"/>
    <x v="0"/>
    <n v="0.57999999999999996"/>
    <s v="TACI"/>
    <s v="Blister"/>
    <x v="2"/>
    <s v="After Re Start Up"/>
    <m/>
    <s v="V8C3111"/>
    <s v="001"/>
    <n v="2"/>
    <n v="1"/>
    <d v="2023-01-13T00:00:00"/>
    <d v="2023-01-18T00:00:00"/>
    <s v="Closed"/>
    <n v="1"/>
    <n v="0"/>
    <s v="Mr. Koko"/>
    <x v="7"/>
    <s v="SPECIAL PASS OK"/>
    <m/>
  </r>
  <r>
    <n v="12"/>
    <x v="0"/>
    <x v="0"/>
    <s v="sedang"/>
    <x v="0"/>
    <s v="2PEW"/>
    <x v="0"/>
    <n v="0.77"/>
    <s v="MEAINA"/>
    <s v="CD Small"/>
    <x v="2"/>
    <s v="Adjust Tension Diturunkan "/>
    <m/>
    <s v="11A2104"/>
    <s v="002 &amp; 001"/>
    <n v="5"/>
    <n v="2"/>
    <d v="2022-01-05T00:00:00"/>
    <d v="2022-01-10T00:00:00"/>
    <s v="Closed"/>
    <n v="2"/>
    <n v="0"/>
    <s v="Mr. Koko"/>
    <x v="0"/>
    <s v="SPECIAL PASS OK"/>
    <m/>
  </r>
  <r>
    <n v="13"/>
    <x v="0"/>
    <x v="0"/>
    <s v="sedang"/>
    <x v="0"/>
    <s v="2PEW"/>
    <x v="0"/>
    <n v="0.77"/>
    <s v="MEAINA"/>
    <s v="CD Small"/>
    <x v="2"/>
    <m/>
    <m/>
    <s v="11A2105"/>
    <s v="001"/>
    <n v="5"/>
    <n v="1"/>
    <d v="2022-01-05T00:00:00"/>
    <d v="2022-01-10T00:00:00"/>
    <s v="Closed"/>
    <n v="1"/>
    <n v="0"/>
    <s v="Mr. Koko"/>
    <x v="0"/>
    <s v="SPECIAL PASS OK"/>
    <m/>
  </r>
  <r>
    <n v="14"/>
    <x v="1"/>
    <x v="0"/>
    <s v="sedang"/>
    <x v="6"/>
    <s v="D2IDW4A-1"/>
    <x v="0"/>
    <n v="0.55400000000000005"/>
    <s v="TACI"/>
    <s v="Blister"/>
    <x v="2"/>
    <s v="Re Start Up"/>
    <m/>
    <s v="V8D3114"/>
    <s v="002"/>
    <n v="2"/>
    <n v="1"/>
    <d v="2023-01-15T00:00:00"/>
    <d v="2023-01-18T00:00:00"/>
    <s v="Closed"/>
    <n v="1"/>
    <n v="0"/>
    <s v="Mr. Koko"/>
    <x v="8"/>
    <s v="SPECIAL PASS OK"/>
    <m/>
  </r>
  <r>
    <n v="15"/>
    <x v="1"/>
    <x v="0"/>
    <s v="sedang"/>
    <x v="2"/>
    <s v="2EIWAD-O"/>
    <x v="0"/>
    <n v="1.65"/>
    <s v="MEAA-OH"/>
    <s v="SE Big"/>
    <x v="2"/>
    <s v="Fp"/>
    <m/>
    <s v="V6B3115"/>
    <s v="001"/>
    <s v="1 &amp; 3"/>
    <n v="2"/>
    <d v="2023-01-16T00:00:00"/>
    <d v="2023-01-18T00:00:00"/>
    <s v="Closed"/>
    <n v="2"/>
    <n v="0"/>
    <s v="Mr. Koko"/>
    <x v="9"/>
    <s v="SPECIAL PASS OK"/>
    <m/>
  </r>
  <r>
    <n v="16"/>
    <x v="1"/>
    <x v="0"/>
    <s v="sedang"/>
    <x v="7"/>
    <s v="D2-PEW-B-1"/>
    <x v="0"/>
    <n v="0.5"/>
    <s v="HAMADEN"/>
    <s v="App Blister"/>
    <x v="6"/>
    <s v="- Felt Sebelum Oven Dikencangkan - Wire Dipisah, Dilock Up 1 - T/U 002,003,004 Scrap"/>
    <m/>
    <s v="V4A3105 / V4A3106"/>
    <s v="001 / 001"/>
    <s v="3.4 / 3.4"/>
    <n v="4"/>
    <d v="2023-01-07T00:00:00"/>
    <d v="2023-01-18T00:00:00"/>
    <s v="Closed"/>
    <n v="4"/>
    <n v="0"/>
    <s v="Mr. Koko"/>
    <x v="10"/>
    <s v="SPECIAL PASS OK"/>
    <m/>
  </r>
  <r>
    <m/>
    <x v="1"/>
    <x v="0"/>
    <s v="sedang"/>
    <x v="7"/>
    <s v="D2-PEW-B-1"/>
    <x v="0"/>
    <n v="0.5"/>
    <s v="TOYOTSU"/>
    <s v="Blister"/>
    <x v="2"/>
    <s v="After Re Start Up"/>
    <m/>
    <s v="V4A3104"/>
    <s v="002"/>
    <n v="7"/>
    <n v="1"/>
    <d v="2023-01-05T00:00:00"/>
    <d v="2023-01-18T00:00:00"/>
    <s v="Closed"/>
    <n v="1"/>
    <n v="0"/>
    <s v="Mr. Koko"/>
    <x v="10"/>
    <s v="SPECIAL PASS OK"/>
    <m/>
  </r>
  <r>
    <n v="17"/>
    <x v="1"/>
    <x v="0"/>
    <s v="sedang"/>
    <x v="7"/>
    <s v="D2-PEW-B-1"/>
    <x v="0"/>
    <n v="0.5"/>
    <s v="TOYOTSU"/>
    <s v="Scratch (Grinding)"/>
    <x v="2"/>
    <s v="Rotary Dies Inline"/>
    <m/>
    <s v="V4A3104"/>
    <s v="001"/>
    <n v="8"/>
    <n v="1"/>
    <d v="2023-01-05T00:00:00"/>
    <d v="2023-01-18T00:00:00"/>
    <s v="Closed"/>
    <n v="1"/>
    <n v="0"/>
    <s v="Mr. Koko"/>
    <x v="10"/>
    <s v="SPECIAL PASS OK"/>
    <m/>
  </r>
  <r>
    <n v="18"/>
    <x v="1"/>
    <x v="0"/>
    <s v="sedang"/>
    <x v="0"/>
    <s v="1AIW"/>
    <x v="0"/>
    <n v="0.9"/>
    <s v="MITSUBA"/>
    <s v="Blister"/>
    <x v="2"/>
    <s v="Fp"/>
    <m/>
    <s v="11A3116"/>
    <s v="001.002"/>
    <n v="5"/>
    <n v="2"/>
    <d v="2023-01-18T00:00:00"/>
    <d v="2023-01-19T00:00:00"/>
    <s v="Closed"/>
    <n v="2"/>
    <n v="0"/>
    <s v="Mr. Koko"/>
    <x v="11"/>
    <s v="SPECIAL PASS OK"/>
    <m/>
  </r>
  <r>
    <n v="19"/>
    <x v="1"/>
    <x v="0"/>
    <s v="sedang"/>
    <x v="6"/>
    <s v="D2IDW4A-1"/>
    <x v="0"/>
    <n v="0.55400000000000005"/>
    <s v="TACI"/>
    <s v="Gulungan Silang / Bawah"/>
    <x v="2"/>
    <s v="Adjust Winding"/>
    <m/>
    <s v="V8D3117"/>
    <s v="001"/>
    <n v="2"/>
    <n v="1"/>
    <d v="2023-01-18T00:00:00"/>
    <d v="2023-01-19T00:00:00"/>
    <s v="Closed"/>
    <n v="1"/>
    <n v="0"/>
    <s v="Mr. Koko"/>
    <x v="8"/>
    <s v="SPECIAL PASS OK"/>
    <m/>
  </r>
  <r>
    <n v="20"/>
    <x v="1"/>
    <x v="0"/>
    <s v="sedang"/>
    <x v="8"/>
    <s v="0FBWSHC"/>
    <x v="1"/>
    <n v="0.95"/>
    <s v="MITSUBA"/>
    <s v="Air Wiper Anneal 2 Mati"/>
    <x v="2"/>
    <s v="Fp (Produk DiRS)"/>
    <m/>
    <s v="V9A3116"/>
    <s v="002"/>
    <s v="1 S/D 7"/>
    <n v="7"/>
    <d v="2023-01-16T00:00:00"/>
    <d v="2023-01-19T00:00:00"/>
    <s v="Closed"/>
    <n v="7"/>
    <n v="0"/>
    <s v="Mr. Koko"/>
    <x v="12"/>
    <s v="SPECIAL PASS OK"/>
    <m/>
  </r>
  <r>
    <n v="21"/>
    <x v="1"/>
    <x v="0"/>
    <s v="sedang"/>
    <x v="1"/>
    <s v="2PEW"/>
    <x v="1"/>
    <n v="0.8"/>
    <s v="MELCO"/>
    <s v="Laser Micro Alarm"/>
    <x v="2"/>
    <s v="Siwa Dies Coat"/>
    <m/>
    <s v="11B3112"/>
    <s v="001 / 003"/>
    <s v="2 / 5"/>
    <n v="2"/>
    <d v="2023-01-12T00:00:00"/>
    <d v="2023-01-19T00:00:00"/>
    <s v="Closed"/>
    <n v="2"/>
    <n v="0"/>
    <s v="Mr. Koko"/>
    <x v="13"/>
    <s v="SPECIAL PASS OK"/>
    <m/>
  </r>
  <r>
    <n v="22"/>
    <x v="1"/>
    <x v="0"/>
    <s v="sedang"/>
    <x v="3"/>
    <s v="1PEW"/>
    <x v="0"/>
    <n v="2"/>
    <s v="SEI-OEM"/>
    <s v="CD Small"/>
    <x v="2"/>
    <s v="Adjust Tension Diturunkan "/>
    <m/>
    <s v="V8A3101"/>
    <s v="011"/>
    <n v="1"/>
    <n v="1"/>
    <d v="2023-01-01T00:00:00"/>
    <d v="2023-01-03T00:00:00"/>
    <s v="Closed"/>
    <n v="1"/>
    <n v="0"/>
    <s v="Mr. Koko"/>
    <x v="14"/>
    <s v="SPECIAL PASS OK"/>
    <m/>
  </r>
  <r>
    <n v="23"/>
    <x v="1"/>
    <x v="0"/>
    <s v="sedang"/>
    <x v="9"/>
    <s v="D2IDW-4-B-2"/>
    <x v="0"/>
    <n v="0.7"/>
    <s v="DMIA"/>
    <s v="Banyak Parafin"/>
    <x v="2"/>
    <s v="Cleaning Sheave Makitori"/>
    <m/>
    <s v="VOB3109"/>
    <s v="003"/>
    <n v="1"/>
    <n v="1"/>
    <d v="2023-01-09T00:00:00"/>
    <d v="2023-01-13T00:00:00"/>
    <s v="Closed"/>
    <n v="1"/>
    <n v="0"/>
    <s v="Mr. Koko"/>
    <x v="15"/>
    <s v="SPECIAL PASS OK"/>
    <m/>
  </r>
  <r>
    <n v="24"/>
    <x v="1"/>
    <x v="0"/>
    <s v="sedang"/>
    <x v="5"/>
    <s v="D2IDW4A-1"/>
    <x v="0"/>
    <n v="0.57999999999999996"/>
    <s v="TACI"/>
    <s v="CD Hempei"/>
    <x v="2"/>
    <s v="Rotary Dies Inline"/>
    <m/>
    <s v="V8C3106"/>
    <s v="001"/>
    <n v="1"/>
    <n v="1"/>
    <d v="2023-01-07T00:00:00"/>
    <d v="2023-01-13T00:00:00"/>
    <s v="Closed"/>
    <n v="1"/>
    <n v="0"/>
    <s v="Mr. Koko"/>
    <x v="7"/>
    <s v="SPECIAL PASS OK"/>
    <m/>
  </r>
  <r>
    <n v="25"/>
    <x v="1"/>
    <x v="0"/>
    <s v="sedang"/>
    <x v="10"/>
    <s v="0FBWCC"/>
    <x v="0"/>
    <n v="1.1000000000000001"/>
    <s v="MITSUBA"/>
    <s v="Coating Thikness Small"/>
    <x v="2"/>
    <s v="Check T/U 003 Ok"/>
    <m/>
    <s v="V9B3109"/>
    <s v="002"/>
    <s v="1 / 4"/>
    <n v="2"/>
    <d v="2023-01-10T00:00:00"/>
    <d v="2023-01-13T00:00:00"/>
    <s v="Closed"/>
    <n v="2"/>
    <n v="0"/>
    <s v="Mr. Koko"/>
    <x v="16"/>
    <s v="SPECIAL PASS OK"/>
    <m/>
  </r>
  <r>
    <n v="26"/>
    <x v="1"/>
    <x v="0"/>
    <s v="sedang"/>
    <x v="1"/>
    <s v="2PEW"/>
    <x v="1"/>
    <n v="0.8"/>
    <s v="MELCO"/>
    <s v="Temp. Lower Abnormal"/>
    <x v="7"/>
    <s v="Perbaikan MTN"/>
    <m/>
    <s v="11B3105"/>
    <s v="001"/>
    <s v="1 S/D 5"/>
    <n v="5"/>
    <d v="2023-01-05T00:00:00"/>
    <d v="2023-01-18T00:00:00"/>
    <s v="Closed"/>
    <n v="5"/>
    <n v="0"/>
    <s v="Mr. Koko"/>
    <x v="13"/>
    <s v="SPECIAL PASS OK"/>
    <m/>
  </r>
  <r>
    <n v="27"/>
    <x v="1"/>
    <x v="0"/>
    <s v="sedang"/>
    <x v="4"/>
    <s v="2EIWAD-P"/>
    <x v="0"/>
    <n v="1.25"/>
    <s v="LAMCOR"/>
    <s v="CD Hempei"/>
    <x v="2"/>
    <m/>
    <m/>
    <s v="12B3108"/>
    <s v="004 / 005 / 006 / 003"/>
    <n v="4"/>
    <n v="4"/>
    <d v="2023-01-16T00:00:00"/>
    <d v="2023-01-23T00:00:00"/>
    <s v="Closed"/>
    <n v="0"/>
    <n v="4"/>
    <s v="Mr. Koko"/>
    <x v="17"/>
    <s v="PRODUCT DISCRAPE"/>
    <m/>
  </r>
  <r>
    <n v="28"/>
    <x v="1"/>
    <x v="0"/>
    <s v="sedang"/>
    <x v="0"/>
    <s v="D1-PEW-B-2Y"/>
    <x v="0"/>
    <n v="0.8"/>
    <s v="SEI-ASMO"/>
    <s v="APP Sure"/>
    <x v="2"/>
    <s v="Siwa &amp; Rotary Inline"/>
    <m/>
    <s v="11A3122 / 23"/>
    <s v="001 S/D 005 / 001"/>
    <n v="3"/>
    <n v="6"/>
    <d v="2023-01-23T00:00:00"/>
    <d v="2023-01-24T00:00:00"/>
    <s v="Closed"/>
    <n v="6"/>
    <n v="0"/>
    <s v="Mr. Koko"/>
    <x v="18"/>
    <s v="SPECIAL PASS OK"/>
    <m/>
  </r>
  <r>
    <n v="29"/>
    <x v="1"/>
    <x v="0"/>
    <s v="sedang"/>
    <x v="8"/>
    <s v="0FBWSHC"/>
    <x v="0"/>
    <n v="1.1000000000000001"/>
    <s v="MITSUBA"/>
    <s v="DF Big"/>
    <x v="2"/>
    <s v="- Temp. Upper + Catalyst Dinaikkan 10°C - Temp. Lower Evap Dinaikkan 5°C"/>
    <m/>
    <s v="V9A3118"/>
    <s v="002 / 003"/>
    <s v="1 S/D 5 / 1 S/D 5"/>
    <n v="10"/>
    <d v="2023-01-19T00:00:00"/>
    <d v="2023-01-24T00:00:00"/>
    <s v="Closed"/>
    <n v="10"/>
    <n v="0"/>
    <s v="Mr. Koko"/>
    <x v="19"/>
    <s v="SPECIAL PASS OK"/>
    <m/>
  </r>
  <r>
    <n v="30"/>
    <x v="0"/>
    <x v="0"/>
    <s v="sedang"/>
    <x v="2"/>
    <s v="2EIWAD-O"/>
    <x v="0"/>
    <n v="1.81"/>
    <s v="MEAA-OH"/>
    <s v="OD CD SE Small"/>
    <x v="8"/>
    <s v="Adjust WS FP-500 Cn 5 Diturunkan "/>
    <m/>
    <s v="V6B2129"/>
    <s v="001"/>
    <n v="5"/>
    <n v="1"/>
    <d v="2022-01-30T00:00:00"/>
    <d v="2022-02-10T00:00:00"/>
    <s v="Closed"/>
    <n v="1"/>
    <n v="0"/>
    <s v="Mr. Koko"/>
    <x v="20"/>
    <s v="SPECIAL PASS OK"/>
    <m/>
  </r>
  <r>
    <n v="31"/>
    <x v="0"/>
    <x v="0"/>
    <s v="sedang"/>
    <x v="2"/>
    <s v="2EIWAD-O"/>
    <x v="0"/>
    <n v="1.81"/>
    <s v="MEAA-OH"/>
    <s v="OD Small"/>
    <x v="2"/>
    <s v="Adjust WS T/U FP-500 Diturunkan "/>
    <m/>
    <s v="V6B2128"/>
    <s v="001"/>
    <n v="4"/>
    <n v="1"/>
    <d v="2022-01-29T00:00:00"/>
    <d v="2022-02-10T00:00:00"/>
    <s v="Closed"/>
    <n v="1"/>
    <n v="0"/>
    <s v="Mr. Koko"/>
    <x v="20"/>
    <s v="SPECIAL PASS OK"/>
    <m/>
  </r>
  <r>
    <n v="32"/>
    <x v="1"/>
    <x v="0"/>
    <s v="sedang"/>
    <x v="5"/>
    <s v="D2IDW4A-1"/>
    <x v="0"/>
    <n v="0.57999999999999996"/>
    <s v="TACI"/>
    <s v="OD / CD Hempei"/>
    <x v="2"/>
    <s v="Rotary Inline"/>
    <m/>
    <s v="V8C3107 / 08"/>
    <s v="001"/>
    <n v="1"/>
    <n v="2"/>
    <d v="2023-01-09T00:00:00"/>
    <d v="2023-01-24T00:00:00"/>
    <s v="Closed"/>
    <n v="2"/>
    <n v="0"/>
    <s v="Mr. Koko"/>
    <x v="7"/>
    <s v="SPECIAL PASS OK"/>
    <m/>
  </r>
  <r>
    <n v="33"/>
    <x v="1"/>
    <x v="0"/>
    <s v="sedang"/>
    <x v="9"/>
    <s v="D2IDW-4-B-2"/>
    <x v="0"/>
    <n v="0.65"/>
    <s v="DMIA / WIN-A"/>
    <s v="Qty Horiba Small"/>
    <x v="2"/>
    <s v="Roller Speed SPB Dinaikkan 4.0 ---&gt; 4.3"/>
    <m/>
    <s v="VOB3121 / VOB3122"/>
    <s v="003"/>
    <s v="1 S/D 5 / 1 S/D 5"/>
    <n v="10"/>
    <d v="2023-01-23T00:00:00"/>
    <d v="2023-01-24T00:00:00"/>
    <s v="Closed"/>
    <n v="10"/>
    <n v="0"/>
    <s v="Mr. Koko"/>
    <x v="21"/>
    <s v="SPECIAL PASS OK"/>
    <m/>
  </r>
  <r>
    <n v="34"/>
    <x v="1"/>
    <x v="0"/>
    <s v="sedang"/>
    <x v="11"/>
    <s v="1AIWP"/>
    <x v="0"/>
    <n v="1.35"/>
    <s v="MITSUBA"/>
    <s v="CT Kecil"/>
    <x v="9"/>
    <s v="Centering Stopper Dies Coating"/>
    <m/>
    <s v="12A3125"/>
    <s v="Start Up"/>
    <s v="1 S/D 5"/>
    <n v="5"/>
    <d v="2023-01-26T00:00:00"/>
    <d v="2023-01-30T00:00:00"/>
    <s v="Closed"/>
    <n v="5"/>
    <n v="0"/>
    <s v="Mr. Koko"/>
    <x v="22"/>
    <s v="SPECIAL PASS OK"/>
    <m/>
  </r>
  <r>
    <m/>
    <x v="1"/>
    <x v="1"/>
    <s v="sedang"/>
    <x v="12"/>
    <s v="2PEW"/>
    <x v="1"/>
    <n v="0.35"/>
    <s v="MAPI"/>
    <s v="Switch Heater Dryer Off"/>
    <x v="10"/>
    <s v="- Red Spool - Switch Di onkan "/>
    <m/>
    <s v="H3A3118 / 19"/>
    <s v="001"/>
    <s v="1 / 1"/>
    <n v="2"/>
    <d v="2023-01-27T00:00:00"/>
    <d v="2023-01-30T00:00:00"/>
    <s v="Closed"/>
    <n v="2"/>
    <n v="0"/>
    <s v="Mr. Koko"/>
    <x v="23"/>
    <s v="SPECIAL PASS OK"/>
    <m/>
  </r>
  <r>
    <m/>
    <x v="1"/>
    <x v="1"/>
    <s v="sedang"/>
    <x v="13"/>
    <s v="2PEW"/>
    <x v="1"/>
    <n v="0.35"/>
    <s v="MAPI"/>
    <s v="Switch Heater Dryer Off"/>
    <x v="10"/>
    <s v="- Red Spool - Switch Di onkan "/>
    <m/>
    <s v="H3B3118 / 19"/>
    <s v="001"/>
    <s v="1 / 1"/>
    <n v="2"/>
    <d v="2023-01-27T00:00:00"/>
    <d v="2023-01-30T00:00:00"/>
    <s v="Closed"/>
    <n v="2"/>
    <n v="0"/>
    <s v="Mr. Koko"/>
    <x v="23"/>
    <s v="SPECIAL PASS OK"/>
    <m/>
  </r>
  <r>
    <m/>
    <x v="1"/>
    <x v="1"/>
    <s v="sedang"/>
    <x v="13"/>
    <s v="2PEW"/>
    <x v="0"/>
    <n v="0.35"/>
    <s v="MAPI"/>
    <s v="CT Kecil"/>
    <x v="11"/>
    <s v="Temp. Oven Ditambahakn 10°C"/>
    <m/>
    <s v="H3B3118 / 19"/>
    <s v="Start Up"/>
    <n v="1"/>
    <n v="1"/>
    <d v="2023-01-19T00:00:00"/>
    <d v="2023-01-24T00:00:00"/>
    <s v="Closed"/>
    <n v="1"/>
    <n v="0"/>
    <s v="Mr. Koko"/>
    <x v="23"/>
    <s v="SPECIAL PASS OK"/>
    <m/>
  </r>
  <r>
    <m/>
    <x v="1"/>
    <x v="1"/>
    <s v="sedang"/>
    <x v="14"/>
    <s v="D2IDW4-B-2"/>
    <x v="0"/>
    <n v="0.26"/>
    <s v="SEI-ASMO"/>
    <s v="CD NG"/>
    <x v="2"/>
    <s v="Ganti FD"/>
    <m/>
    <s v="H2A3119"/>
    <s v="001"/>
    <d v="2002-01-05T00:00:00"/>
    <n v="3"/>
    <d v="2023-01-23T00:00:00"/>
    <d v="2023-01-23T00:00:00"/>
    <s v="Closed"/>
    <n v="3"/>
    <n v="0"/>
    <s v="Mr. Koko"/>
    <x v="24"/>
    <s v="SPECIAL PASS OK"/>
    <m/>
  </r>
  <r>
    <m/>
    <x v="1"/>
    <x v="1"/>
    <s v="sedang"/>
    <x v="14"/>
    <s v="D2IDW4-B-2"/>
    <x v="0"/>
    <n v="0.26"/>
    <s v="SEI-ASMO"/>
    <s v="OD Small"/>
    <x v="2"/>
    <s v="Adjust T/U Tension Winding "/>
    <m/>
    <s v="H2A3123"/>
    <s v="001"/>
    <n v="1"/>
    <n v="1"/>
    <d v="2023-01-23T00:00:00"/>
    <d v="2023-01-24T00:00:00"/>
    <s v="Closed"/>
    <n v="1"/>
    <n v="0"/>
    <s v="Mr. Koko"/>
    <x v="24"/>
    <s v="SPECIAL PASS OK"/>
    <m/>
  </r>
  <r>
    <m/>
    <x v="2"/>
    <x v="0"/>
    <s v="sedang"/>
    <x v="15"/>
    <s v="2PEW"/>
    <x v="1"/>
    <n v="0.7"/>
    <s v="MELCO"/>
    <s v="Banyak Powder DiRoller Setelah Cheking Dies"/>
    <x v="2"/>
    <m/>
    <m/>
    <s v="V8B3222"/>
    <s v="002"/>
    <s v="All Course"/>
    <n v="3"/>
    <d v="2023-02-23T00:00:00"/>
    <d v="2023-02-28T00:00:00"/>
    <s v="Closed"/>
    <n v="3"/>
    <n v="0"/>
    <s v="Mr. Koko"/>
    <x v="25"/>
    <s v="SPECIAL PASS OK"/>
    <m/>
  </r>
  <r>
    <m/>
    <x v="2"/>
    <x v="0"/>
    <s v="sedang"/>
    <x v="15"/>
    <s v="2PEW"/>
    <x v="0"/>
    <n v="0.67"/>
    <s v="MELCO"/>
    <s v="App Powder"/>
    <x v="2"/>
    <s v="- Cleaning C/D - Cleaning Sheave - Adjust Sumbu E-Oil &amp; P-Oil"/>
    <m/>
    <s v="V8B3225"/>
    <s v="002 / 003"/>
    <s v=" 1.2 / 2"/>
    <n v="3"/>
    <d v="2023-02-26T00:00:00"/>
    <d v="2023-02-28T00:00:00"/>
    <s v="Closed"/>
    <n v="3"/>
    <n v="0"/>
    <s v="Mr. Koko"/>
    <x v="26"/>
    <s v="SPECIAL PASS OK"/>
    <m/>
  </r>
  <r>
    <m/>
    <x v="2"/>
    <x v="0"/>
    <s v="sedang"/>
    <x v="15"/>
    <s v="2PEW"/>
    <x v="0"/>
    <n v="0.67"/>
    <s v="MELCO"/>
    <s v="Powder"/>
    <x v="2"/>
    <s v="Cleaning CD &amp; Sumbu E-Oil"/>
    <m/>
    <s v="V8B3225"/>
    <s v="001"/>
    <n v="1.2"/>
    <n v="2"/>
    <d v="2023-02-15T00:00:00"/>
    <d v="2023-02-28T00:00:00"/>
    <s v="Closed"/>
    <n v="2"/>
    <n v="0"/>
    <s v="Mr. Koko"/>
    <x v="26"/>
    <s v="SPECIAL PASS OK"/>
    <m/>
  </r>
  <r>
    <m/>
    <x v="2"/>
    <x v="0"/>
    <s v="sedang"/>
    <x v="9"/>
    <s v="D2IDW4A-1"/>
    <x v="0"/>
    <n v="0.57999999999999996"/>
    <s v="TACI"/>
    <s v="BW Scratch"/>
    <x v="2"/>
    <m/>
    <m/>
    <s v="VOB3220"/>
    <s v="001"/>
    <n v="5"/>
    <n v="1"/>
    <d v="2023-02-21T00:00:00"/>
    <d v="2023-02-27T00:00:00"/>
    <s v="Closed"/>
    <n v="1"/>
    <n v="0"/>
    <s v="Mr. Koko"/>
    <x v="7"/>
    <s v="SPECIAL PASS OK"/>
    <m/>
  </r>
  <r>
    <m/>
    <x v="2"/>
    <x v="0"/>
    <s v="sedang"/>
    <x v="15"/>
    <s v="2PEW"/>
    <x v="0"/>
    <n v="0.67"/>
    <s v="MELCO"/>
    <s v="SE Big"/>
    <x v="2"/>
    <s v="Adjust Temperature Anneal 1 /  2Diturunkan 20°C"/>
    <m/>
    <s v="V8B3224"/>
    <s v="001 / 002"/>
    <s v="1.2.3 / 1.2.3"/>
    <n v="6"/>
    <d v="2023-02-24T00:00:00"/>
    <d v="2023-02-27T00:00:00"/>
    <s v="Closed"/>
    <n v="6"/>
    <n v="0"/>
    <s v="Mr. Koko"/>
    <x v="26"/>
    <s v="SPECIAL PASS OK"/>
    <m/>
  </r>
  <r>
    <m/>
    <x v="2"/>
    <x v="0"/>
    <s v="sedang"/>
    <x v="5"/>
    <s v="2AIW"/>
    <x v="0"/>
    <n v="0.6"/>
    <s v="MAPI"/>
    <s v="DF Big"/>
    <x v="2"/>
    <s v="Temperature Upper &amp; Catalyst Up 10°C"/>
    <m/>
    <s v="V8C3225"/>
    <s v="002 / 003"/>
    <s v="1.2.3"/>
    <n v="6"/>
    <d v="2023-02-26T00:00:00"/>
    <d v="2023-02-27T00:00:00"/>
    <s v="Closed"/>
    <n v="6"/>
    <n v="0"/>
    <s v="Mr. Koko"/>
    <x v="27"/>
    <s v="SPECIAL PASS OK"/>
    <m/>
  </r>
  <r>
    <m/>
    <x v="2"/>
    <x v="0"/>
    <s v="sedang"/>
    <x v="5"/>
    <s v="2AIW"/>
    <x v="0"/>
    <n v="0.6"/>
    <s v="MAPI"/>
    <s v="DF Big"/>
    <x v="2"/>
    <s v="Temperature Upper &amp; Catalyst Up 10°C"/>
    <m/>
    <s v="V8C3226"/>
    <s v="001"/>
    <s v="1.2.3"/>
    <n v="3"/>
    <d v="2023-02-26T00:00:00"/>
    <d v="2023-02-27T00:00:00"/>
    <s v="Closed"/>
    <n v="3"/>
    <n v="0"/>
    <s v="Mr. Koko"/>
    <x v="27"/>
    <s v="SPECIAL PASS OK"/>
    <m/>
  </r>
  <r>
    <m/>
    <x v="2"/>
    <x v="0"/>
    <s v="sedang"/>
    <x v="0"/>
    <s v="2PEW"/>
    <x v="0"/>
    <n v="0.77"/>
    <s v="MEAINA"/>
    <s v="OD CD Hempei"/>
    <x v="2"/>
    <s v="Rotary Inline Dies &amp; Siwa Dies Coat"/>
    <m/>
    <s v="11A3225 / 11A3226"/>
    <s v="002 / 001"/>
    <s v="2 / 2"/>
    <n v="2"/>
    <d v="2023-02-28T00:00:00"/>
    <d v="2023-02-28T00:00:00"/>
    <s v="Closed"/>
    <n v="0"/>
    <n v="2"/>
    <s v="Mr. Koko"/>
    <x v="0"/>
    <s v="PRODUCT DISCRAPE"/>
    <m/>
  </r>
  <r>
    <m/>
    <x v="2"/>
    <x v="0"/>
    <s v="sedang"/>
    <x v="0"/>
    <s v="2PEW"/>
    <x v="0"/>
    <n v="0.77"/>
    <s v="MEAINA"/>
    <s v="OD CD Hempei"/>
    <x v="2"/>
    <s v="Rotary Inline Dies &amp; Siwa Dies Coat"/>
    <m/>
    <s v="11A3226"/>
    <s v="002 / 003"/>
    <n v="2"/>
    <n v="2"/>
    <d v="2023-02-27T00:00:00"/>
    <d v="2023-02-27T00:00:00"/>
    <s v="Closed"/>
    <n v="0"/>
    <n v="2"/>
    <s v="Mr. Koko"/>
    <x v="0"/>
    <s v="PRODUCT DISCRAPE"/>
    <m/>
  </r>
  <r>
    <m/>
    <x v="2"/>
    <x v="0"/>
    <s v="sedang"/>
    <x v="16"/>
    <s v="1HGZ-MA"/>
    <x v="0"/>
    <n v="1.18"/>
    <s v="LAMCOR"/>
    <s v="App Blister"/>
    <x v="2"/>
    <m/>
    <m/>
    <s v="V6A3226"/>
    <s v="001"/>
    <n v="5"/>
    <n v="1"/>
    <d v="2023-02-26T00:00:00"/>
    <d v="2023-02-28T00:00:00"/>
    <s v="Closed"/>
    <n v="1"/>
    <n v="0"/>
    <s v="Mr. Koko"/>
    <x v="28"/>
    <s v="SPECIAL PASS OK"/>
    <m/>
  </r>
  <r>
    <m/>
    <x v="2"/>
    <x v="0"/>
    <s v="sedang"/>
    <x v="9"/>
    <s v="D2IDW4A-1"/>
    <x v="0"/>
    <n v="0.57999999999999996"/>
    <s v="TACI"/>
    <s v="CD Scratch"/>
    <x v="2"/>
    <m/>
    <m/>
    <s v="VOB3222"/>
    <s v="002"/>
    <n v="1"/>
    <n v="1"/>
    <d v="2023-02-23T00:00:00"/>
    <d v="2023-02-28T00:00:00"/>
    <s v="Closed"/>
    <n v="1"/>
    <n v="0"/>
    <s v="Mr. Koko"/>
    <x v="7"/>
    <s v="SPECIAL PASS OK"/>
    <m/>
  </r>
  <r>
    <m/>
    <x v="2"/>
    <x v="0"/>
    <s v="sedang"/>
    <x v="2"/>
    <s v="2EIWAD-SS"/>
    <x v="1"/>
    <n v="1.4"/>
    <s v="MEAINA"/>
    <s v="Varnish Over Coat Kering"/>
    <x v="2"/>
    <s v="Buka Supply Varnish"/>
    <m/>
    <s v="V6B3227"/>
    <s v="002"/>
    <s v="1 S/D 7"/>
    <n v="7"/>
    <d v="2023-02-28T00:00:00"/>
    <d v="2023-02-28T00:00:00"/>
    <s v="Closed"/>
    <n v="7"/>
    <n v="0"/>
    <s v="Mr. Koko"/>
    <x v="29"/>
    <s v="SPECIAL PASS OK"/>
    <m/>
  </r>
  <r>
    <m/>
    <x v="2"/>
    <x v="0"/>
    <s v="sedang"/>
    <x v="17"/>
    <s v="D2IDW-4-B-2"/>
    <x v="0"/>
    <n v="0.44"/>
    <s v="DMIA / WIN-A (DMNC-G"/>
    <s v="Qty Horiba Small"/>
    <x v="2"/>
    <s v="- Adjust Level Oil - WS Roll Coater dari 2.3 ---&gt; 2.4"/>
    <m/>
    <s v="V4B3221"/>
    <s v="001"/>
    <s v="1 S/D 10"/>
    <n v="10"/>
    <d v="2023-02-22T00:00:00"/>
    <d v="2023-02-24T00:00:00"/>
    <s v="Closed"/>
    <n v="10"/>
    <n v="0"/>
    <s v="Mr. Koko"/>
    <x v="30"/>
    <s v="SPECIAL PASS OK"/>
    <m/>
  </r>
  <r>
    <m/>
    <x v="2"/>
    <x v="0"/>
    <s v="sedang"/>
    <x v="2"/>
    <s v="2EIWAD-O"/>
    <x v="0"/>
    <n v="1.65"/>
    <s v="MEAA-OH"/>
    <s v="Bad Winding"/>
    <x v="2"/>
    <s v="Adjust Turn Table Winding"/>
    <m/>
    <s v="V6B3220"/>
    <s v="001"/>
    <n v="1"/>
    <n v="1"/>
    <d v="2023-02-21T00:00:00"/>
    <d v="2023-02-24T00:00:00"/>
    <s v="Closed"/>
    <n v="1"/>
    <n v="0"/>
    <s v="Mr. Koko"/>
    <x v="9"/>
    <s v="SPECIAL PASS OK"/>
    <m/>
  </r>
  <r>
    <m/>
    <x v="2"/>
    <x v="0"/>
    <s v="sedang"/>
    <x v="2"/>
    <s v="2EIWAD-O"/>
    <x v="0"/>
    <n v="1.65"/>
    <s v="MEAA-OH"/>
    <s v="Gulungan FP-500 NG"/>
    <x v="12"/>
    <s v="Makitori Cn 2 Not Use"/>
    <m/>
    <s v="V6B3219"/>
    <s v="001"/>
    <n v="2"/>
    <n v="1"/>
    <d v="2023-02-19T00:00:00"/>
    <d v="2023-02-21T00:00:00"/>
    <s v="Closed"/>
    <n v="1"/>
    <n v="0"/>
    <s v="Mr. Koko"/>
    <x v="9"/>
    <s v="SPECIAL PASS OK"/>
    <m/>
  </r>
  <r>
    <m/>
    <x v="2"/>
    <x v="0"/>
    <s v="sedang"/>
    <x v="9"/>
    <s v="D2IDW4A-1"/>
    <x v="0"/>
    <n v="0.57999999999999996"/>
    <s v="TACI"/>
    <s v="BW Scratch"/>
    <x v="2"/>
    <m/>
    <m/>
    <s v="VOB3219"/>
    <s v="001"/>
    <n v="5"/>
    <n v="1"/>
    <d v="2023-02-21T00:00:00"/>
    <d v="2023-02-27T00:00:00"/>
    <s v="Closed"/>
    <n v="1"/>
    <n v="0"/>
    <s v="Mr. Koko"/>
    <x v="7"/>
    <s v="SPECIAL PASS OK"/>
    <m/>
  </r>
  <r>
    <m/>
    <x v="2"/>
    <x v="0"/>
    <s v="sedang"/>
    <x v="2"/>
    <s v="2EIWAD-O"/>
    <x v="0"/>
    <n v="1.65"/>
    <s v="MEAA-OH"/>
    <s v="OD CD Small"/>
    <x v="2"/>
    <s v="Cn 4 Wire Dicut (Kurangi 1 Head) Turn Table Eror"/>
    <m/>
    <s v="V6B3218"/>
    <s v="001"/>
    <n v="4"/>
    <n v="1"/>
    <d v="2023-02-20T00:00:00"/>
    <d v="2023-02-22T00:00:00"/>
    <s v="Closed"/>
    <n v="1"/>
    <n v="0"/>
    <s v="Mr. Koko"/>
    <x v="9"/>
    <s v="SPECIAL PASS OK"/>
    <m/>
  </r>
  <r>
    <m/>
    <x v="2"/>
    <x v="0"/>
    <s v="sedang"/>
    <x v="11"/>
    <s v="1AIWP"/>
    <x v="1"/>
    <n v="1.05"/>
    <s v="MITSUBA"/>
    <s v="Wire Line Tidak Kena P-Oil"/>
    <x v="2"/>
    <s v="Wire Line Diadjustment"/>
    <m/>
    <s v="12A3204"/>
    <s v="001"/>
    <s v="1 S/D 5"/>
    <n v="5"/>
    <d v="2023-02-04T00:00:00"/>
    <d v="2023-02-15T00:00:00"/>
    <s v="Closed"/>
    <n v="5"/>
    <n v="0"/>
    <s v="Mr. Koko"/>
    <x v="31"/>
    <s v="SPECIAL PASS OK"/>
    <m/>
  </r>
  <r>
    <m/>
    <x v="2"/>
    <x v="0"/>
    <s v="sedang"/>
    <x v="8"/>
    <s v="0FBWSHC"/>
    <x v="0"/>
    <n v="0.95"/>
    <s v="MITSUBA"/>
    <s v="Horiba Big"/>
    <x v="2"/>
    <s v="Adjust Roll Coater Diturunkan 3.00 ---&gt; 2.50"/>
    <m/>
    <s v="V9A3211"/>
    <s v="Start Up"/>
    <s v="1 S/D 7"/>
    <n v="7"/>
    <d v="2023-02-11T00:00:00"/>
    <d v="2023-02-15T00:00:00"/>
    <s v="Closed"/>
    <n v="7"/>
    <n v="0"/>
    <s v="Mr. Koko"/>
    <x v="12"/>
    <s v="SPECIAL PASS OK"/>
    <m/>
  </r>
  <r>
    <m/>
    <x v="2"/>
    <x v="0"/>
    <s v="sedang"/>
    <x v="7"/>
    <s v="D2DSW2"/>
    <x v="0"/>
    <n v="0.5"/>
    <s v="HAMADEN"/>
    <s v="OD Big"/>
    <x v="2"/>
    <s v="Adjust Tension Produk "/>
    <m/>
    <s v="V4A3211"/>
    <s v="001"/>
    <n v="2"/>
    <n v="1"/>
    <d v="2023-02-12T00:00:00"/>
    <d v="2023-02-15T00:00:00"/>
    <s v="Closed"/>
    <n v="1"/>
    <n v="0"/>
    <s v="Mr. Koko"/>
    <x v="32"/>
    <s v="SPECIAL PASS OK"/>
    <m/>
  </r>
  <r>
    <m/>
    <x v="2"/>
    <x v="0"/>
    <s v="sedang"/>
    <x v="0"/>
    <s v="D2-IDW-4E"/>
    <x v="0"/>
    <n v="0.83"/>
    <s v="DENSO FAJAR"/>
    <s v="Blister"/>
    <x v="13"/>
    <s v="- Change Felt Inline - Sebelum Oven Cek Pass Line"/>
    <m/>
    <s v="11A3219"/>
    <s v="002"/>
    <n v="3"/>
    <n v="1"/>
    <d v="2023-02-19T00:00:00"/>
    <d v="2023-02-20T00:00:00"/>
    <s v="Closed"/>
    <n v="1"/>
    <n v="0"/>
    <s v="Mr. Koko"/>
    <x v="33"/>
    <s v="SPECIAL PASS OK"/>
    <m/>
  </r>
  <r>
    <m/>
    <x v="2"/>
    <x v="0"/>
    <s v="sedang"/>
    <x v="4"/>
    <s v="D1-IDW-4"/>
    <x v="0"/>
    <n v="1.1499999999999999"/>
    <s v="DENSO FAJAR"/>
    <s v="Blister"/>
    <x v="14"/>
    <s v="Siwa Dies Coat"/>
    <m/>
    <s v="12B3219"/>
    <s v="002 / 003 / 004  "/>
    <n v="3"/>
    <n v="3"/>
    <d v="2023-02-19T00:00:00"/>
    <d v="2023-02-20T00:00:00"/>
    <s v="Closed"/>
    <n v="3"/>
    <n v="0"/>
    <s v="Mr. Koko"/>
    <x v="4"/>
    <s v="SPECIAL PASS OK"/>
    <m/>
  </r>
  <r>
    <m/>
    <x v="2"/>
    <x v="0"/>
    <s v="sedang"/>
    <x v="7"/>
    <s v="D2DSW2"/>
    <x v="0"/>
    <n v="0.5"/>
    <s v="HAMADEN"/>
    <s v="Blister"/>
    <x v="15"/>
    <s v="Step 1 Cn 8 - 9 Upper Sheave Wire Line Lengkap"/>
    <m/>
    <s v="V4A3216"/>
    <s v="001"/>
    <n v="9"/>
    <n v="1"/>
    <d v="2023-02-17T00:00:00"/>
    <d v="2023-02-20T00:00:00"/>
    <s v="Closed"/>
    <n v="1"/>
    <n v="0"/>
    <s v="Mr. Koko"/>
    <x v="32"/>
    <s v="SPECIAL PASS OK"/>
    <m/>
  </r>
  <r>
    <m/>
    <x v="2"/>
    <x v="0"/>
    <s v="sedang"/>
    <x v="10"/>
    <s v="0FBWSHC"/>
    <x v="0"/>
    <n v="1.2"/>
    <s v="MITSUBA"/>
    <s v="CD Big"/>
    <x v="2"/>
    <s v="Adjust Tension Slidak Dinaikkan"/>
    <m/>
    <s v="V9B3218"/>
    <s v="002"/>
    <n v="5"/>
    <n v="1"/>
    <d v="2023-02-19T00:00:00"/>
    <d v="2023-02-20T00:00:00"/>
    <s v="Closed"/>
    <n v="1"/>
    <n v="0"/>
    <s v="Mr. Koko"/>
    <x v="34"/>
    <s v="SPECIAL PASS OK"/>
    <m/>
  </r>
  <r>
    <m/>
    <x v="2"/>
    <x v="0"/>
    <s v="sedang"/>
    <x v="10"/>
    <s v="1FBWCC"/>
    <x v="0"/>
    <n v="1"/>
    <s v="YEID"/>
    <s v="App Blister"/>
    <x v="2"/>
    <s v="- Siwa Dies Coat - Take Out Varnish"/>
    <m/>
    <s v="V9B3208"/>
    <s v="002 / 003"/>
    <s v="2.3.4.5.9"/>
    <n v="12"/>
    <d v="2023-02-08T00:00:00"/>
    <d v="2023-02-21T00:00:00"/>
    <s v="Closed"/>
    <n v="12"/>
    <n v="0"/>
    <s v="Mr. Koko"/>
    <x v="35"/>
    <s v="SPECIAL PASS OK"/>
    <m/>
  </r>
  <r>
    <m/>
    <x v="2"/>
    <x v="0"/>
    <s v="sedang"/>
    <x v="7"/>
    <s v="D2DSW2"/>
    <x v="0"/>
    <n v="0.5"/>
    <s v="HAMADEN"/>
    <s v="Blister &amp; Grinding Scratch"/>
    <x v="15"/>
    <s v="CN 8 - 9 Step 1 Dilock Up"/>
    <m/>
    <s v="V4A3217"/>
    <s v="001"/>
    <n v="8.9"/>
    <n v="2"/>
    <d v="2023-02-18T00:00:00"/>
    <d v="2023-02-21T00:00:00"/>
    <s v="Closed"/>
    <n v="0"/>
    <n v="2"/>
    <s v="Mr. Koko"/>
    <x v="32"/>
    <s v="PRODUCT DISCRAPE"/>
    <m/>
  </r>
  <r>
    <m/>
    <x v="2"/>
    <x v="0"/>
    <s v="sedang"/>
    <x v="8"/>
    <s v="1-ATZ-300"/>
    <x v="0"/>
    <n v="1.25"/>
    <s v="YEID"/>
    <s v="Oil Paper Big"/>
    <x v="2"/>
    <m/>
    <m/>
    <s v="V9A3206"/>
    <s v="006"/>
    <s v="1 S/D 7"/>
    <n v="7"/>
    <d v="2023-02-07T00:00:00"/>
    <d v="2023-02-08T00:00:00"/>
    <s v="Closed"/>
    <n v="7"/>
    <n v="0"/>
    <s v="Mr. Koko"/>
    <x v="36"/>
    <s v="SPECIAL PASS OK"/>
    <m/>
  </r>
  <r>
    <m/>
    <x v="2"/>
    <x v="0"/>
    <s v="sedang"/>
    <x v="0"/>
    <s v="2PEW"/>
    <x v="0"/>
    <n v="0.73"/>
    <s v="MELCO"/>
    <s v="Wire Numpuk "/>
    <x v="2"/>
    <s v="Start Up"/>
    <m/>
    <s v="11A3203"/>
    <s v="001 / 002"/>
    <n v="4"/>
    <n v="2"/>
    <d v="2023-02-03T00:00:00"/>
    <d v="2023-02-08T00:00:00"/>
    <s v="Closed"/>
    <n v="2"/>
    <n v="0"/>
    <s v="Mr. Koko"/>
    <x v="37"/>
    <s v="SPECIAL PASS OK"/>
    <m/>
  </r>
  <r>
    <m/>
    <x v="2"/>
    <x v="0"/>
    <s v="sedang"/>
    <x v="10"/>
    <s v="0FBWCC"/>
    <x v="0"/>
    <n v="1.1000000000000001"/>
    <s v="YEID"/>
    <s v="Blister"/>
    <x v="2"/>
    <s v="- Rotary Inline - Siwa Dies Coat - Cleaning Under Sheave -Wire Line CD Cn 3 Change Position"/>
    <m/>
    <s v="V9B3203"/>
    <s v="002"/>
    <n v="2"/>
    <n v="1"/>
    <d v="2023-02-04T00:00:00"/>
    <d v="2023-02-08T00:00:00"/>
    <s v="Closed"/>
    <n v="1"/>
    <n v="0"/>
    <s v="Mr. Koko"/>
    <x v="16"/>
    <s v="SPECIAL PASS OK"/>
    <m/>
  </r>
  <r>
    <m/>
    <x v="2"/>
    <x v="0"/>
    <s v="sedang"/>
    <x v="10"/>
    <s v="0FBWCC"/>
    <x v="0"/>
    <n v="1.1000000000000001"/>
    <s v="YEID"/>
    <s v="M-TAN, CT Small"/>
    <x v="2"/>
    <s v="Temperature Upper &amp; Catalyst Up 5°C"/>
    <m/>
    <s v="V9B3202"/>
    <s v="001 / 002"/>
    <s v="1 S/D 5 / 1 S/D 5"/>
    <n v="10"/>
    <d v="2023-02-02T00:00:00"/>
    <d v="2023-02-08T00:00:00"/>
    <s v="Closed"/>
    <n v="10"/>
    <n v="0"/>
    <s v="Mr. Koko"/>
    <x v="16"/>
    <s v="SPECIAL PASS OK"/>
    <m/>
  </r>
  <r>
    <m/>
    <x v="2"/>
    <x v="0"/>
    <s v="sedang"/>
    <x v="11"/>
    <s v="1AIWP"/>
    <x v="0"/>
    <n v="1.05"/>
    <s v="MITSUBA"/>
    <s v="DF Small"/>
    <x v="2"/>
    <s v="Adjust Temperture "/>
    <m/>
    <s v="12A3205"/>
    <s v="002 / 003"/>
    <s v="1 S/D 5 / 1 S/D 5"/>
    <n v="10"/>
    <d v="2023-02-06T00:00:00"/>
    <d v="2023-02-08T00:00:00"/>
    <s v="Closed"/>
    <n v="10"/>
    <n v="0"/>
    <s v="Mr. Koko"/>
    <x v="31"/>
    <s v="SPECIAL PASS OK"/>
    <m/>
  </r>
  <r>
    <m/>
    <x v="2"/>
    <x v="0"/>
    <s v="sedang"/>
    <x v="2"/>
    <s v="2EIWAD-O"/>
    <x v="0"/>
    <n v="1.65"/>
    <s v="MEAA-OH"/>
    <s v="CD OD Small &amp; SE Small"/>
    <x v="2"/>
    <s v="Adjust Speed Capstand Pack 19.9 ---&gt; 18.9"/>
    <m/>
    <s v="V6B3210"/>
    <s v="001 / 002"/>
    <s v="4 / 4"/>
    <n v="2"/>
    <d v="2023-02-11T00:00:00"/>
    <d v="2023-02-15T00:00:00"/>
    <s v="Closed"/>
    <n v="2"/>
    <n v="0"/>
    <s v="Mr. Koko"/>
    <x v="9"/>
    <s v="SPECIAL PASS OK"/>
    <m/>
  </r>
  <r>
    <m/>
    <x v="2"/>
    <x v="0"/>
    <s v="sedang"/>
    <x v="4"/>
    <s v="1PEW"/>
    <x v="0"/>
    <n v="1.7"/>
    <s v="SEI-OEM"/>
    <s v="CD Small"/>
    <x v="2"/>
    <s v="Adjust Slidak Diturunkan "/>
    <m/>
    <s v="12B3209"/>
    <s v="015"/>
    <n v="1"/>
    <n v="1"/>
    <d v="2023-02-10T00:00:00"/>
    <d v="2023-02-15T00:00:00"/>
    <s v="Closed"/>
    <n v="1"/>
    <n v="0"/>
    <s v="Mr. Koko"/>
    <x v="38"/>
    <s v="SPECIAL PASS OK"/>
    <m/>
  </r>
  <r>
    <m/>
    <x v="2"/>
    <x v="0"/>
    <s v="sedang"/>
    <x v="9"/>
    <s v="D1-PEW-B-2T"/>
    <x v="1"/>
    <n v="0.56000000000000005"/>
    <s v="DMIA"/>
    <s v="Varnish Kecampur"/>
    <x v="16"/>
    <s v="Kanvas Vanish Tank &amp; Change Fleksible Hose"/>
    <m/>
    <s v="VOB3207"/>
    <s v="004"/>
    <s v="1 S/D 5"/>
    <n v="5"/>
    <d v="2023-02-07T00:00:00"/>
    <d v="2023-02-15T00:00:00"/>
    <s v="Closed"/>
    <n v="5"/>
    <n v="0"/>
    <s v="Mr. Koko"/>
    <x v="39"/>
    <s v="SPECIAL PASS OK"/>
    <m/>
  </r>
  <r>
    <m/>
    <x v="2"/>
    <x v="0"/>
    <s v="sedang"/>
    <x v="3"/>
    <s v="D1IDW-4-B-1"/>
    <x v="1"/>
    <n v="1.7"/>
    <s v="DENSO FAJAR"/>
    <s v="Varnish Mix"/>
    <x v="2"/>
    <s v="Mc Stop"/>
    <m/>
    <s v="V8A3228"/>
    <s v="005"/>
    <s v="1"/>
    <n v="1"/>
    <d v="2023-02-28T00:00:00"/>
    <d v="2023-03-16T00:00:00"/>
    <s v="Closed"/>
    <n v="1"/>
    <n v="0"/>
    <s v="Mr. Koko"/>
    <x v="40"/>
    <s v="SPECIAL PASS OK"/>
    <m/>
  </r>
  <r>
    <n v="35"/>
    <x v="2"/>
    <x v="1"/>
    <s v="sedang"/>
    <x v="12"/>
    <s v="2AIW"/>
    <x v="0"/>
    <n v="0.21"/>
    <s v="MITSUBA"/>
    <s v="Ovality CD Hempei"/>
    <x v="2"/>
    <s v="Change Dies Inline ---&gt; Re Start"/>
    <m/>
    <s v="H3A3222"/>
    <s v="001"/>
    <n v="1"/>
    <n v="1"/>
    <d v="2023-02-22T00:00:00"/>
    <d v="2023-02-28T00:00:00"/>
    <s v="Closed"/>
    <n v="1"/>
    <n v="0"/>
    <s v="Mr. Koko"/>
    <x v="41"/>
    <s v="SPECIAL PASS OK"/>
    <m/>
  </r>
  <r>
    <n v="1"/>
    <x v="2"/>
    <x v="1"/>
    <s v="sedang"/>
    <x v="18"/>
    <s v="D2IDW4-B-2"/>
    <x v="0"/>
    <n v="0.26"/>
    <s v="SEI-ASMO"/>
    <s v="APP Sure"/>
    <x v="2"/>
    <s v="Change Dies Inline ---&gt; Re Start"/>
    <m/>
    <s v="H1B3222"/>
    <s v="001"/>
    <n v="2"/>
    <n v="1"/>
    <d v="2023-02-22T00:00:00"/>
    <d v="2023-02-27T00:00:00"/>
    <s v="Closed"/>
    <n v="1"/>
    <n v="0"/>
    <s v="Mr. Koko"/>
    <x v="24"/>
    <s v="SPECIAL PASS OK"/>
    <m/>
  </r>
  <r>
    <n v="2"/>
    <x v="2"/>
    <x v="1"/>
    <s v="sedang"/>
    <x v="19"/>
    <s v="2AIW"/>
    <x v="0"/>
    <n v="0.16"/>
    <s v="HITACHI ASTEMO"/>
    <s v="DF Big"/>
    <x v="17"/>
    <m/>
    <m/>
    <s v="H763220"/>
    <s v="001"/>
    <s v="1.2.3.4.5.6.8.9.11.12.13.14"/>
    <n v="12"/>
    <d v="2023-02-20T00:00:00"/>
    <d v="2023-02-22T00:00:00"/>
    <s v="Closed"/>
    <n v="12"/>
    <n v="0"/>
    <s v="Mr. Koko"/>
    <x v="42"/>
    <s v="SPECIAL PASS OK"/>
    <m/>
  </r>
  <r>
    <n v="1"/>
    <x v="2"/>
    <x v="1"/>
    <s v="sedang"/>
    <x v="19"/>
    <s v="2AIW"/>
    <x v="0"/>
    <n v="0.16"/>
    <s v="HITACHI ASTEMO"/>
    <s v="DF Big"/>
    <x v="17"/>
    <m/>
    <m/>
    <s v="H763219"/>
    <s v="001 / 002"/>
    <s v="1 S/D 14"/>
    <n v="16"/>
    <d v="2023-02-20T00:00:00"/>
    <d v="2023-02-22T00:00:00"/>
    <s v="Closed"/>
    <n v="16"/>
    <n v="0"/>
    <s v="Mr. Koko"/>
    <x v="42"/>
    <s v="SPECIAL PASS OK"/>
    <m/>
  </r>
  <r>
    <n v="2"/>
    <x v="2"/>
    <x v="1"/>
    <s v="sedang"/>
    <x v="19"/>
    <s v="2AIW"/>
    <x v="0"/>
    <n v="0.16"/>
    <s v="HITACHI ASTEMO"/>
    <s v="DF Big"/>
    <x v="18"/>
    <s v="Finish Order"/>
    <m/>
    <s v="H763221"/>
    <s v="001"/>
    <s v="2.5.8.9.10.11.13"/>
    <n v="7"/>
    <d v="2023-02-21T00:00:00"/>
    <d v="2023-02-22T00:00:00"/>
    <s v="Closed"/>
    <n v="7"/>
    <n v="0"/>
    <s v="Mr. Koko"/>
    <x v="42"/>
    <s v="SPECIAL PASS OK"/>
    <m/>
  </r>
  <r>
    <n v="3"/>
    <x v="2"/>
    <x v="1"/>
    <s v="sedang"/>
    <x v="19"/>
    <s v="2AIW"/>
    <x v="0"/>
    <n v="0.16"/>
    <s v="HITACHI ASTEMO"/>
    <s v="DF Big"/>
    <x v="2"/>
    <s v="No Action"/>
    <m/>
    <s v="H763220"/>
    <s v="002 / 003"/>
    <s v="7 / 1.4.6"/>
    <n v="4"/>
    <d v="2023-02-21T00:00:00"/>
    <d v="2023-02-22T00:00:00"/>
    <s v="Closed"/>
    <n v="4"/>
    <n v="0"/>
    <s v="Mr. Koko"/>
    <x v="42"/>
    <s v="SPECIAL PASS OK"/>
    <m/>
  </r>
  <r>
    <n v="4"/>
    <x v="2"/>
    <x v="1"/>
    <s v="sedang"/>
    <x v="19"/>
    <s v="2AIW"/>
    <x v="0"/>
    <n v="0.16"/>
    <s v="HITACHI ASTEMO"/>
    <s v="DF Big"/>
    <x v="2"/>
    <s v="No Action ---&gt; Finish Order"/>
    <m/>
    <s v="H763221"/>
    <s v="001"/>
    <s v="3.14.12"/>
    <n v="3"/>
    <d v="2023-02-21T00:00:00"/>
    <d v="2023-02-22T00:00:00"/>
    <s v="Closed"/>
    <n v="3"/>
    <n v="0"/>
    <s v="Mr. Koko"/>
    <x v="42"/>
    <s v="SPECIAL PASS OK"/>
    <m/>
  </r>
  <r>
    <n v="5"/>
    <x v="2"/>
    <x v="1"/>
    <s v="sedang"/>
    <x v="18"/>
    <s v="D2IDW4-B-2"/>
    <x v="0"/>
    <n v="0.26"/>
    <s v="SEI-ASMO"/>
    <s v="ECC Big, CD Sratch"/>
    <x v="19"/>
    <s v="Ganti Dies Inline"/>
    <m/>
    <s v="H1B3205"/>
    <s v="001 (Advance Sample)"/>
    <n v="4.5"/>
    <n v="2"/>
    <d v="2023-02-06T00:00:00"/>
    <d v="2023-02-21T00:00:00"/>
    <s v="Closed"/>
    <n v="2"/>
    <n v="0"/>
    <s v="Mr. Koko"/>
    <x v="24"/>
    <s v="SPECIAL PASS OK"/>
    <m/>
  </r>
  <r>
    <n v="6"/>
    <x v="2"/>
    <x v="1"/>
    <s v="sedang"/>
    <x v="18"/>
    <s v="D2IDW4-B-2"/>
    <x v="0"/>
    <n v="0.26"/>
    <s v="SEI-ASMO"/>
    <s v="OD Big"/>
    <x v="20"/>
    <s v="Change Dies Coating &amp; Adjust Tension (T/U)"/>
    <m/>
    <s v="H1B3206"/>
    <s v="001"/>
    <n v="3"/>
    <n v="1"/>
    <d v="2023-02-07T00:00:00"/>
    <d v="2023-02-21T00:00:00"/>
    <s v="Closed"/>
    <n v="1"/>
    <n v="0"/>
    <s v="Mr. Koko"/>
    <x v="24"/>
    <s v="SPECIAL PASS OK"/>
    <m/>
  </r>
  <r>
    <n v="7"/>
    <x v="2"/>
    <x v="1"/>
    <s v="sedang"/>
    <x v="20"/>
    <s v="D2IDW4-B-2"/>
    <x v="0"/>
    <n v="0.26"/>
    <s v="SEI-ASMO"/>
    <s v="OD Big"/>
    <x v="2"/>
    <s v="Change Dies Coating"/>
    <m/>
    <s v="H1A3206"/>
    <s v="001"/>
    <n v="1.2"/>
    <n v="2"/>
    <d v="2023-02-07T00:00:00"/>
    <d v="2023-02-21T00:00:00"/>
    <s v="Closed"/>
    <n v="2"/>
    <n v="0"/>
    <s v="Mr. Koko"/>
    <x v="24"/>
    <s v="SPECIAL PASS OK"/>
    <m/>
  </r>
  <r>
    <n v="8"/>
    <x v="3"/>
    <x v="0"/>
    <s v="sedang"/>
    <x v="2"/>
    <s v="2EIWAD-OP"/>
    <x v="0"/>
    <n v="1.25"/>
    <s v="LAMCOR (WIN-M)"/>
    <s v="CD Small"/>
    <x v="21"/>
    <s v="Adjust Tension Winding Diturunkan "/>
    <m/>
    <s v="V6B2207"/>
    <s v="001"/>
    <n v="2"/>
    <n v="1"/>
    <d v="2022-02-08T00:00:00"/>
    <d v="2022-02-18T00:00:00"/>
    <s v="Closed"/>
    <n v="1"/>
    <n v="0"/>
    <s v="Mr. Koko"/>
    <x v="43"/>
    <s v="SPECIAL PASS OK"/>
    <m/>
  </r>
  <r>
    <n v="9"/>
    <x v="2"/>
    <x v="1"/>
    <s v="sedang"/>
    <x v="20"/>
    <s v="D2IDW4-B-2"/>
    <x v="0"/>
    <n v="0.26"/>
    <s v="SEI-ASMO"/>
    <s v="ECC Big (Moulding)"/>
    <x v="21"/>
    <m/>
    <m/>
    <s v="H1A3205"/>
    <s v="Start Up"/>
    <n v="4"/>
    <n v="1"/>
    <d v="2023-02-06T00:00:00"/>
    <d v="2023-02-21T00:00:00"/>
    <s v="Closed"/>
    <n v="1"/>
    <n v="0"/>
    <s v="Mr. Koko"/>
    <x v="24"/>
    <s v="SPECIAL PASS OK"/>
    <m/>
  </r>
  <r>
    <n v="10"/>
    <x v="3"/>
    <x v="0"/>
    <s v="sedang"/>
    <x v="0"/>
    <s v="2PEW"/>
    <x v="0"/>
    <n v="0.75"/>
    <s v="MELCO"/>
    <s v="BW Hempei"/>
    <x v="2"/>
    <s v="Fp"/>
    <m/>
    <s v="11A2212"/>
    <s v="001.002.003.004"/>
    <n v="5"/>
    <n v="4"/>
    <d v="2022-02-14T00:00:00"/>
    <d v="2022-02-18T00:00:00"/>
    <s v="Closed"/>
    <n v="0"/>
    <n v="4"/>
    <s v="Mr. Koko"/>
    <x v="44"/>
    <s v="PRODUCT DISCRAPE"/>
    <m/>
  </r>
  <r>
    <n v="11"/>
    <x v="2"/>
    <x v="1"/>
    <s v="sedang"/>
    <x v="20"/>
    <s v="D2IDW4-B-2"/>
    <x v="0"/>
    <n v="0.26"/>
    <s v="SEI-ASMO"/>
    <s v="ECC Moulding Big"/>
    <x v="22"/>
    <s v="- Wire Passing - Ganti Dies Inline - Ganti Dies Coating"/>
    <m/>
    <s v="H1A3203"/>
    <s v="Start Up"/>
    <n v="4"/>
    <n v="1"/>
    <d v="2023-02-05T00:00:00"/>
    <d v="2023-02-21T00:00:00"/>
    <s v="Closed"/>
    <n v="1"/>
    <n v="0"/>
    <s v="Mr. Koko"/>
    <x v="24"/>
    <s v="SPECIAL PASS OK"/>
    <m/>
  </r>
  <r>
    <n v="12"/>
    <x v="2"/>
    <x v="1"/>
    <s v="sedang"/>
    <x v="21"/>
    <s v="1AIW"/>
    <x v="0"/>
    <n v="0.28999999999999998"/>
    <s v="NDKI"/>
    <s v="OD Hempei"/>
    <x v="2"/>
    <m/>
    <m/>
    <s v="H523214"/>
    <s v="002"/>
    <n v="8"/>
    <n v="1"/>
    <d v="2023-02-15T00:00:00"/>
    <d v="2023-02-21T00:00:00"/>
    <s v="Closed"/>
    <n v="1"/>
    <n v="0"/>
    <s v="Mr. Koko"/>
    <x v="45"/>
    <s v="SPECIAL PASS OK"/>
    <m/>
  </r>
  <r>
    <n v="13"/>
    <x v="2"/>
    <x v="1"/>
    <s v="sedang"/>
    <x v="22"/>
    <s v="2AIWP"/>
    <x v="0"/>
    <n v="0.25"/>
    <s v="MITSUBA"/>
    <s v="ECC Big"/>
    <x v="2"/>
    <s v="Rotary &amp; Cleaning Dies"/>
    <m/>
    <s v="H2B3204"/>
    <s v="001 / 002 / 003"/>
    <n v="5"/>
    <n v="3"/>
    <d v="2023-02-04T00:00:00"/>
    <d v="2023-02-21T00:00:00"/>
    <s v="Closed"/>
    <n v="3"/>
    <n v="0"/>
    <s v="Mr. Koko"/>
    <x v="46"/>
    <s v="SPECIAL PASS OK"/>
    <m/>
  </r>
  <r>
    <n v="14"/>
    <x v="2"/>
    <x v="1"/>
    <s v="sedang"/>
    <x v="12"/>
    <s v="1UEW"/>
    <x v="0"/>
    <n v="0.4"/>
    <s v="YEID"/>
    <s v="Bad Winding"/>
    <x v="23"/>
    <s v="Re Setting Traverse"/>
    <m/>
    <s v="H3A3207"/>
    <s v="023"/>
    <n v="1"/>
    <n v="1"/>
    <d v="2023-02-08T00:00:00"/>
    <d v="2023-02-21T00:00:00"/>
    <s v="Closed"/>
    <n v="1"/>
    <n v="0"/>
    <s v="Mr. Koko"/>
    <x v="47"/>
    <s v="SPECIAL PASS OK"/>
    <m/>
  </r>
  <r>
    <n v="15"/>
    <x v="2"/>
    <x v="1"/>
    <s v="sedang"/>
    <x v="13"/>
    <s v="1UEW"/>
    <x v="0"/>
    <n v="0.4"/>
    <s v="YEID"/>
    <s v="Bad Winding"/>
    <x v="24"/>
    <m/>
    <m/>
    <s v="H3B3207"/>
    <s v="019"/>
    <n v="1"/>
    <n v="1"/>
    <d v="2023-02-08T00:00:00"/>
    <d v="2023-02-21T00:00:00"/>
    <s v="Closed"/>
    <n v="1"/>
    <n v="0"/>
    <s v="Mr. Koko"/>
    <x v="47"/>
    <s v="SPECIAL PASS OK"/>
    <m/>
  </r>
  <r>
    <n v="16"/>
    <x v="2"/>
    <x v="1"/>
    <s v="sedang"/>
    <x v="14"/>
    <s v="D2IDW4-B-2"/>
    <x v="0"/>
    <n v="0.25"/>
    <s v="DMIA"/>
    <s v="CD Small &amp; Ovality Hempei"/>
    <x v="2"/>
    <s v="Change FD"/>
    <m/>
    <s v="H2A3213"/>
    <s v="001"/>
    <n v="3"/>
    <n v="1"/>
    <d v="2023-02-13T00:00:00"/>
    <d v="2023-02-21T00:00:00"/>
    <s v="Closed"/>
    <n v="1"/>
    <n v="0"/>
    <s v="Mr. Koko"/>
    <x v="48"/>
    <s v="SPECIAL PASS OK"/>
    <m/>
  </r>
  <r>
    <n v="17"/>
    <x v="2"/>
    <x v="1"/>
    <s v="sedang"/>
    <x v="20"/>
    <s v="D2IDW4-B-2"/>
    <x v="0"/>
    <n v="0.31"/>
    <s v="DMIA"/>
    <s v="CD Small"/>
    <x v="2"/>
    <s v="Check Next T/U"/>
    <m/>
    <s v="H1A3217"/>
    <s v="001"/>
    <n v="2"/>
    <n v="1"/>
    <d v="2023-02-17T00:00:00"/>
    <d v="2023-02-22T00:00:00"/>
    <s v="Closed"/>
    <n v="1"/>
    <n v="0"/>
    <s v="Mr. Koko"/>
    <x v="49"/>
    <s v="SPECIAL PASS OK"/>
    <m/>
  </r>
  <r>
    <n v="18"/>
    <x v="4"/>
    <x v="0"/>
    <s v="sedang"/>
    <x v="6"/>
    <s v="2PEW"/>
    <x v="0"/>
    <n v="0.6"/>
    <s v="MELCO"/>
    <s v="SE Big"/>
    <x v="2"/>
    <s v="Temperature Adjust Annealer 2 Diturunkan 20°C"/>
    <m/>
    <s v="V8D3317"/>
    <s v="001"/>
    <s v="1 S/D 4"/>
    <n v="4"/>
    <d v="2023-03-17T00:00:00"/>
    <d v="2023-03-20T00:00:00"/>
    <s v="Closed"/>
    <n v="4"/>
    <n v="0"/>
    <s v="Mr. Koko"/>
    <x v="50"/>
    <s v="SPECIAL PASS OK"/>
    <m/>
  </r>
  <r>
    <n v="19"/>
    <x v="4"/>
    <x v="0"/>
    <s v="sedang"/>
    <x v="6"/>
    <s v="2PEW"/>
    <x v="0"/>
    <n v="0.6"/>
    <s v="MELCO"/>
    <s v="SE Big &amp; Parafin"/>
    <x v="2"/>
    <s v="Cleaning Parafin / Adjust Temperature Anneal 2 Diturunkan 20°C"/>
    <m/>
    <s v="V8D3317"/>
    <s v="002"/>
    <s v="1.3.4"/>
    <n v="3"/>
    <d v="2023-03-18T00:00:00"/>
    <d v="2023-03-20T00:00:00"/>
    <s v="Closed"/>
    <n v="3"/>
    <n v="0"/>
    <s v="Mr. Koko"/>
    <x v="50"/>
    <s v="SPECIAL PASS OK"/>
    <m/>
  </r>
  <r>
    <n v="20"/>
    <x v="4"/>
    <x v="0"/>
    <s v="sedang"/>
    <x v="11"/>
    <s v="2EIWAD-O"/>
    <x v="0"/>
    <n v="1.65"/>
    <s v="MEAA-OH"/>
    <s v="CD Small"/>
    <x v="2"/>
    <s v="Adjust T/U WS Dinaikkan"/>
    <m/>
    <s v="12A3314"/>
    <s v="001"/>
    <n v="2"/>
    <n v="1"/>
    <d v="2023-03-15T00:00:00"/>
    <d v="2023-03-17T00:00:00"/>
    <s v="Closed"/>
    <n v="1"/>
    <n v="0"/>
    <s v="Mr. Koko"/>
    <x v="9"/>
    <s v="SPECIAL PASS OK"/>
    <m/>
  </r>
  <r>
    <m/>
    <x v="2"/>
    <x v="1"/>
    <s v="sedang"/>
    <x v="20"/>
    <s v="D2IDW4-B-2"/>
    <x v="1"/>
    <n v="0.26"/>
    <s v="SEI-ASMO"/>
    <s v="Lubricant Was Off"/>
    <x v="2"/>
    <s v="- Replace the Sensor - Takeout the Clodge Inside 2nd Return Pump - Install Mesh Filter at 2nd Retun Pump"/>
    <m/>
    <s v="H1B3220 / 22"/>
    <s v="001"/>
    <s v="1 S/D 5"/>
    <n v="10"/>
    <d v="2023-02-20T00:00:00"/>
    <d v="2023-03-15T00:00:00"/>
    <s v="Closed"/>
    <n v="10"/>
    <n v="0"/>
    <s v="Mr. Koko"/>
    <x v="24"/>
    <s v="SPECIAL PASS OK"/>
    <m/>
  </r>
  <r>
    <m/>
    <x v="2"/>
    <x v="1"/>
    <s v="sedang"/>
    <x v="22"/>
    <s v="2-ATZ-300"/>
    <x v="0"/>
    <n v="0.35"/>
    <s v="TOYO DENSO"/>
    <s v="CD Small"/>
    <x v="2"/>
    <s v="- Check Next T/U - Adjust Tension"/>
    <m/>
    <s v="H2B3228"/>
    <s v="001 / 002 / 004"/>
    <s v="1 / 3"/>
    <n v="3"/>
    <d v="2023-03-01T00:00:00"/>
    <d v="2023-03-14T00:00:00"/>
    <s v="Closed"/>
    <n v="3"/>
    <n v="0"/>
    <s v="Mr. Koko"/>
    <x v="51"/>
    <s v="SPECIAL PASS OK"/>
    <m/>
  </r>
  <r>
    <m/>
    <x v="2"/>
    <x v="1"/>
    <s v="sedang"/>
    <x v="20"/>
    <s v="D2IDW4-B-2"/>
    <x v="1"/>
    <n v="0.31"/>
    <s v="DMIA"/>
    <s v="Lubricant Off"/>
    <x v="2"/>
    <s v="- Take Out the Clodge - Change Shifting Lubricant Filter "/>
    <m/>
    <s v="H1A3220"/>
    <s v="001"/>
    <s v="1 S/D 5"/>
    <n v="5"/>
    <d v="2023-02-20T00:00:00"/>
    <d v="2023-03-15T00:00:00"/>
    <s v="Closed"/>
    <n v="5"/>
    <n v="0"/>
    <s v="Mr. Koko"/>
    <x v="49"/>
    <s v="SPECIAL PASS OK"/>
    <m/>
  </r>
  <r>
    <n v="21"/>
    <x v="4"/>
    <x v="0"/>
    <s v="sedang"/>
    <x v="10"/>
    <s v="0FBWSHC"/>
    <x v="0"/>
    <n v="1.2"/>
    <s v="MITSUBA"/>
    <s v="App Hanten"/>
    <x v="2"/>
    <s v="Rotary Inline"/>
    <m/>
    <s v="V9B3321 / V9B3322"/>
    <s v="003 / 001"/>
    <s v="4 / 4"/>
    <n v="2"/>
    <d v="2023-03-22T00:00:00"/>
    <d v="2023-03-24T00:00:00"/>
    <s v="Closed"/>
    <n v="2"/>
    <n v="0"/>
    <s v="Mr. Koko"/>
    <x v="34"/>
    <s v="SPECIAL PASS OK"/>
    <m/>
  </r>
  <r>
    <n v="22"/>
    <x v="4"/>
    <x v="0"/>
    <s v="sedang"/>
    <x v="10"/>
    <s v="0FBWSHC"/>
    <x v="0"/>
    <n v="1.2"/>
    <s v="MITSUBA"/>
    <s v="App Hanten"/>
    <x v="2"/>
    <s v="- Kuras Tanki Varnish - Cleaning Pipa Saluran Varnish - Change F. Dies Cn 2.4.5.6"/>
    <m/>
    <s v="V9B3320"/>
    <s v="002 / 003"/>
    <s v="2.4.6 / 2.4.6"/>
    <n v="6"/>
    <d v="2023-03-21T00:00:00"/>
    <d v="2023-03-24T00:00:00"/>
    <s v="Closed"/>
    <n v="6"/>
    <n v="0"/>
    <s v="Mr. Koko"/>
    <x v="34"/>
    <s v="SPECIAL PASS OK"/>
    <m/>
  </r>
  <r>
    <n v="23"/>
    <x v="4"/>
    <x v="0"/>
    <s v="sedang"/>
    <x v="1"/>
    <s v="2PEW"/>
    <x v="0"/>
    <n v="0.85"/>
    <s v="MELCO"/>
    <s v="Parafin"/>
    <x v="2"/>
    <s v="Cleaning Sheave"/>
    <m/>
    <s v="11B3320"/>
    <s v="001"/>
    <n v="2"/>
    <n v="1"/>
    <d v="2023-03-20T00:00:00"/>
    <d v="2023-03-24T00:00:00"/>
    <s v="Closed"/>
    <n v="1"/>
    <n v="0"/>
    <s v="Mr. Koko"/>
    <x v="52"/>
    <s v="SPECIAL PASS OK"/>
    <m/>
  </r>
  <r>
    <n v="24"/>
    <x v="4"/>
    <x v="0"/>
    <s v="sedang"/>
    <x v="10"/>
    <s v="0FBWSHC"/>
    <x v="0"/>
    <n v="1.2"/>
    <s v="MITSUBA"/>
    <s v="Hanten"/>
    <x v="2"/>
    <s v="- Take Out Varnish - Cleaning Dies Coating - Change Filter Varnish"/>
    <m/>
    <s v="V9B3319"/>
    <s v="002 / 003"/>
    <s v="5 / 2.4.5"/>
    <n v="4"/>
    <d v="2023-03-20T00:00:00"/>
    <d v="2023-03-24T00:00:00"/>
    <s v="Closed"/>
    <n v="4"/>
    <n v="0"/>
    <s v="Mr. Koko"/>
    <x v="34"/>
    <s v="SPECIAL PASS OK"/>
    <m/>
  </r>
  <r>
    <n v="25"/>
    <x v="4"/>
    <x v="0"/>
    <s v="sedang"/>
    <x v="23"/>
    <s v="D1-PEW-B-2T"/>
    <x v="0"/>
    <n v="0.6"/>
    <s v="DMIA"/>
    <s v="Qty Horiba Small"/>
    <x v="2"/>
    <s v="Roller Ditambakan 05"/>
    <m/>
    <s v="VOA3324 / 25 / 26"/>
    <s v="003 / 004 / 003 / 004"/>
    <s v="All Course"/>
    <n v="20"/>
    <d v="2023-03-27T00:00:00"/>
    <d v="2023-03-28T00:00:00"/>
    <s v="Closed"/>
    <n v="20"/>
    <n v="0"/>
    <s v="Mr. Koko"/>
    <x v="53"/>
    <s v="SPECIAL PASS OK"/>
    <m/>
  </r>
  <r>
    <n v="26"/>
    <x v="4"/>
    <x v="0"/>
    <s v="sedang"/>
    <x v="10"/>
    <s v="1FBWCC"/>
    <x v="0"/>
    <n v="1"/>
    <s v="YEID"/>
    <s v="Bonding Small"/>
    <x v="2"/>
    <s v="Adjust Temperature"/>
    <m/>
    <s v="V9B3307"/>
    <s v="001"/>
    <s v="1 S/D 10"/>
    <n v="10"/>
    <d v="2023-03-07T00:00:00"/>
    <d v="2023-03-09T00:00:00"/>
    <s v="Closed"/>
    <n v="10"/>
    <n v="0"/>
    <s v="Mr. Koko"/>
    <x v="35"/>
    <s v="SPECIAL PASS OK"/>
    <m/>
  </r>
  <r>
    <n v="27"/>
    <x v="3"/>
    <x v="0"/>
    <s v="sedang"/>
    <x v="2"/>
    <s v="2EIWAD-OP"/>
    <x v="0"/>
    <n v="1.81"/>
    <s v="MEAA-OH"/>
    <s v="SE Small"/>
    <x v="2"/>
    <s v="Adjust Tension FP-500 Diturunkan "/>
    <m/>
    <s v="V6B2227"/>
    <s v="002"/>
    <n v="5"/>
    <n v="1"/>
    <d v="2022-02-28T00:00:00"/>
    <d v="2022-03-02T00:00:00"/>
    <s v="Closed"/>
    <n v="1"/>
    <n v="0"/>
    <s v="Mr. Koko"/>
    <x v="54"/>
    <s v="SPECIAL PASS OK"/>
    <m/>
  </r>
  <r>
    <n v="28"/>
    <x v="4"/>
    <x v="0"/>
    <s v="sedang"/>
    <x v="0"/>
    <s v="2PEW"/>
    <x v="0"/>
    <n v="0.8"/>
    <s v="MELCO"/>
    <s v="Qty Horiba Small"/>
    <x v="2"/>
    <s v="Tambah Oil P-Oil"/>
    <m/>
    <s v="11A3307"/>
    <s v="002 / 003"/>
    <s v="1 S/D 5 / 1 S/D 5"/>
    <n v="10"/>
    <d v="2023-03-08T00:00:00"/>
    <d v="2023-03-09T00:00:00"/>
    <s v="Closed"/>
    <n v="10"/>
    <n v="0"/>
    <s v="Mr. Koko"/>
    <x v="13"/>
    <s v="SPECIAL PASS OK"/>
    <m/>
  </r>
  <r>
    <n v="29"/>
    <x v="4"/>
    <x v="0"/>
    <s v="sedang"/>
    <x v="10"/>
    <s v="0FBWCC"/>
    <x v="0"/>
    <n v="1.1000000000000001"/>
    <s v="MITSUBA"/>
    <s v="Blister"/>
    <x v="2"/>
    <s v="Fp"/>
    <m/>
    <s v="V9B3306"/>
    <s v="001"/>
    <s v="4"/>
    <n v="1"/>
    <d v="2023-03-07T00:00:00"/>
    <d v="2023-03-09T00:00:00"/>
    <s v="Closed"/>
    <n v="1"/>
    <n v="0"/>
    <s v="Mr. Koko"/>
    <x v="16"/>
    <s v="SPECIAL PASS OK"/>
    <m/>
  </r>
  <r>
    <n v="30"/>
    <x v="4"/>
    <x v="0"/>
    <s v="sedang"/>
    <x v="1"/>
    <s v="1AIW"/>
    <x v="0"/>
    <n v="0.9"/>
    <s v="MITSUBA"/>
    <s v="Gulungan Turun"/>
    <x v="2"/>
    <s v="Fp"/>
    <m/>
    <s v="11B3306"/>
    <s v="003"/>
    <n v="1.2"/>
    <n v="2"/>
    <d v="2023-03-07T00:00:00"/>
    <d v="2023-03-09T00:00:00"/>
    <s v="Closed"/>
    <n v="2"/>
    <n v="0"/>
    <s v="Mr. Koko"/>
    <x v="11"/>
    <s v="SPECIAL PASS OK"/>
    <m/>
  </r>
  <r>
    <n v="31"/>
    <x v="4"/>
    <x v="0"/>
    <s v="sedang"/>
    <x v="10"/>
    <s v="0FBWCC"/>
    <x v="0"/>
    <n v="1.1000000000000001"/>
    <s v="MITSUBA"/>
    <s v="Blister"/>
    <x v="2"/>
    <s v="Siwa Dies Coat"/>
    <m/>
    <s v="V9B3306"/>
    <s v="001"/>
    <s v="1"/>
    <n v="1"/>
    <d v="2023-03-07T00:00:00"/>
    <d v="2023-03-09T00:00:00"/>
    <s v="Closed"/>
    <n v="1"/>
    <n v="0"/>
    <s v="Mr. Koko"/>
    <x v="16"/>
    <s v="SPECIAL PASS OK"/>
    <m/>
  </r>
  <r>
    <n v="32"/>
    <x v="4"/>
    <x v="0"/>
    <s v="sedang"/>
    <x v="11"/>
    <s v="2EIWAD-O"/>
    <x v="0"/>
    <n v="1.65"/>
    <s v="MEAA-OH"/>
    <s v="CD Small"/>
    <x v="2"/>
    <s v="Change Dies Inline"/>
    <m/>
    <s v="12A3313"/>
    <s v="001"/>
    <s v="2 / 5"/>
    <n v="2"/>
    <d v="2023-03-14T00:00:00"/>
    <d v="2023-03-16T00:00:00"/>
    <s v="Closed"/>
    <n v="2"/>
    <n v="0"/>
    <s v="Mr. Koko"/>
    <x v="9"/>
    <s v="SPECIAL PASS OK"/>
    <m/>
  </r>
  <r>
    <n v="33"/>
    <x v="4"/>
    <x v="0"/>
    <s v="sedang"/>
    <x v="6"/>
    <s v="D2IDW4A-1"/>
    <x v="0"/>
    <n v="0.55400000000000005"/>
    <s v="TACI"/>
    <s v="CD Small"/>
    <x v="2"/>
    <s v="Adjust Slidak Tension Shift 1"/>
    <m/>
    <s v="V8D3312 / 13 "/>
    <s v="001"/>
    <n v="4"/>
    <n v="2"/>
    <d v="2023-03-14T00:00:00"/>
    <d v="2023-03-16T00:00:00"/>
    <s v="Closed"/>
    <n v="2"/>
    <n v="0"/>
    <s v="Mr. Koko"/>
    <x v="8"/>
    <s v="SPECIAL PASS OK"/>
    <m/>
  </r>
  <r>
    <n v="34"/>
    <x v="4"/>
    <x v="0"/>
    <s v="sedang"/>
    <x v="4"/>
    <s v="D1-IDW-4"/>
    <x v="0"/>
    <n v="1.1499999999999999"/>
    <s v="DENSO FAJAR"/>
    <s v="App Blister"/>
    <x v="2"/>
    <m/>
    <m/>
    <s v="12B3306"/>
    <s v="002 / 003 / 004"/>
    <n v="3"/>
    <n v="3"/>
    <d v="2023-03-06T00:00:00"/>
    <d v="2023-03-08T00:00:00"/>
    <s v="Closed"/>
    <n v="3"/>
    <n v="0"/>
    <s v="Mr. Koko"/>
    <x v="4"/>
    <s v="SPECIAL PASS OK"/>
    <m/>
  </r>
  <r>
    <n v="35"/>
    <x v="3"/>
    <x v="0"/>
    <s v="sedang"/>
    <x v="2"/>
    <s v="2EIWAD-O"/>
    <x v="0"/>
    <n v="1.81"/>
    <s v="MEAA-OH"/>
    <s v="SE Small"/>
    <x v="2"/>
    <s v="Temp 2nd Anneal Up 20°C"/>
    <m/>
    <s v="V6B2228 / V6B2301"/>
    <s v="001 / 002"/>
    <s v="1 / 5"/>
    <n v="2"/>
    <d v="2022-03-03T00:00:00"/>
    <d v="2022-03-07T00:00:00"/>
    <s v="Closed"/>
    <n v="2"/>
    <n v="0"/>
    <s v="Mr. Koko"/>
    <x v="20"/>
    <s v="SPECIAL PASS OK"/>
    <m/>
  </r>
  <r>
    <n v="36"/>
    <x v="3"/>
    <x v="0"/>
    <s v="sedang"/>
    <x v="2"/>
    <s v="2EIWAD-O"/>
    <x v="0"/>
    <n v="1.81"/>
    <s v="MEAA-OH"/>
    <s v="SE Small"/>
    <x v="2"/>
    <s v="Temp 2nd Anneal Up 20°C"/>
    <m/>
    <s v="V6B2228 / V6B2301 "/>
    <s v="001 / 001"/>
    <s v="5"/>
    <n v="2"/>
    <d v="2022-03-02T00:00:00"/>
    <d v="2022-03-07T00:00:00"/>
    <s v="Closed"/>
    <n v="2"/>
    <n v="0"/>
    <s v="Mr. Koko"/>
    <x v="20"/>
    <s v="SPECIAL PASS OK"/>
    <m/>
  </r>
  <r>
    <n v="37"/>
    <x v="4"/>
    <x v="0"/>
    <s v="sedang"/>
    <x v="8"/>
    <s v="1-ATZ-300"/>
    <x v="0"/>
    <n v="1.25"/>
    <s v="YEID"/>
    <s v="Mera"/>
    <x v="2"/>
    <s v="Siwa, Take Out Varnish"/>
    <m/>
    <s v="V9A3307"/>
    <s v="001"/>
    <s v="1.2.3.4"/>
    <n v="4"/>
    <d v="2023-03-07T00:00:00"/>
    <d v="2023-03-08T00:00:00"/>
    <s v="Closed"/>
    <n v="4"/>
    <n v="0"/>
    <s v="Mr. Koko"/>
    <x v="36"/>
    <s v="SPECIAL PASS OK"/>
    <m/>
  </r>
  <r>
    <n v="38"/>
    <x v="4"/>
    <x v="0"/>
    <s v="sedang"/>
    <x v="8"/>
    <s v="1-ATZ-300"/>
    <x v="0"/>
    <n v="1.25"/>
    <s v="YEID"/>
    <s v="Mera"/>
    <x v="2"/>
    <s v="Siwa, Take Out Varnish"/>
    <m/>
    <s v="V9A3306"/>
    <s v="007 / 006"/>
    <s v="1 S/D 7"/>
    <n v="14"/>
    <d v="2023-03-07T00:00:00"/>
    <d v="2023-03-08T00:00:00"/>
    <s v="Closed"/>
    <n v="14"/>
    <n v="0"/>
    <s v="Mr. Koko"/>
    <x v="36"/>
    <s v="SPECIAL PASS OK"/>
    <m/>
  </r>
  <r>
    <n v="39"/>
    <x v="3"/>
    <x v="0"/>
    <s v="sedang"/>
    <x v="0"/>
    <s v="2PEW"/>
    <x v="0"/>
    <n v="0.82"/>
    <s v="MELCO"/>
    <s v="Qty Horiba Small"/>
    <x v="21"/>
    <s v="Adjust Oil Level "/>
    <m/>
    <s v="11A2213"/>
    <s v="004"/>
    <s v="2.3"/>
    <n v="2"/>
    <d v="2022-02-14T00:00:00"/>
    <d v="2022-03-07T00:00:00"/>
    <s v="Closed"/>
    <n v="2"/>
    <n v="0"/>
    <s v="Mr. Koko"/>
    <x v="1"/>
    <s v="SPECIAL PASS OK"/>
    <m/>
  </r>
  <r>
    <n v="40"/>
    <x v="4"/>
    <x v="0"/>
    <s v="sedang"/>
    <x v="11"/>
    <s v="2EIWAD-O"/>
    <x v="0"/>
    <n v="1.65"/>
    <s v="MEAA-OH"/>
    <s v="OD &amp; CD Big"/>
    <x v="2"/>
    <s v="WS Capstand Adjust"/>
    <m/>
    <s v="12A3307"/>
    <s v="001"/>
    <s v="3 / 4"/>
    <n v="2"/>
    <d v="2023-03-09T00:00:00"/>
    <d v="2023-03-09T00:00:00"/>
    <s v="Closed"/>
    <n v="2"/>
    <n v="0"/>
    <s v="Mr. Koko"/>
    <x v="9"/>
    <s v="SPECIAL PASS OK"/>
    <m/>
  </r>
  <r>
    <n v="41"/>
    <x v="4"/>
    <x v="0"/>
    <s v="sedang"/>
    <x v="11"/>
    <s v="2EIWAD-O"/>
    <x v="0"/>
    <n v="1.65"/>
    <s v="MEAA-OH"/>
    <s v="CD Big &amp; Thikness Small"/>
    <x v="2"/>
    <s v="Adjust WS T/U / Tension FP-500"/>
    <m/>
    <s v="12A3308"/>
    <s v="001"/>
    <s v="3 / 4"/>
    <n v="2"/>
    <d v="2023-03-08T00:00:00"/>
    <d v="2023-03-09T00:00:00"/>
    <s v="Closed"/>
    <n v="2"/>
    <n v="0"/>
    <s v="Mr. Koko"/>
    <x v="9"/>
    <s v="SPECIAL PASS OK"/>
    <m/>
  </r>
  <r>
    <n v="42"/>
    <x v="4"/>
    <x v="0"/>
    <s v="sedang"/>
    <x v="11"/>
    <s v="2EIWAD-O"/>
    <x v="0"/>
    <n v="1.65"/>
    <s v="MEAA-OH"/>
    <s v="CD Small"/>
    <x v="2"/>
    <s v="Rotary Inline &amp; Adjust Tension Diturunkan"/>
    <m/>
    <s v="12A3309"/>
    <s v="001"/>
    <s v="2"/>
    <n v="1"/>
    <d v="2023-03-10T00:00:00"/>
    <d v="2023-03-14T00:00:00"/>
    <s v="Closed"/>
    <n v="1"/>
    <n v="0"/>
    <s v="Mr. Koko"/>
    <x v="9"/>
    <s v="SPECIAL PASS OK"/>
    <m/>
  </r>
  <r>
    <n v="43"/>
    <x v="4"/>
    <x v="0"/>
    <s v="sedang"/>
    <x v="11"/>
    <s v="2EIWAD-O"/>
    <x v="0"/>
    <n v="1.65"/>
    <s v="MEAA-OH"/>
    <s v="CD Big"/>
    <x v="2"/>
    <s v="Inline Diturunkan 1%"/>
    <m/>
    <s v="12A3308"/>
    <s v="002"/>
    <s v="3 / 4"/>
    <n v="2"/>
    <d v="2023-03-10T00:00:00"/>
    <d v="2023-03-16T00:00:00"/>
    <s v="Closed"/>
    <n v="2"/>
    <n v="0"/>
    <s v="Mr. Koko"/>
    <x v="9"/>
    <s v="SPECIAL PASS OK"/>
    <m/>
  </r>
  <r>
    <n v="44"/>
    <x v="4"/>
    <x v="0"/>
    <s v="sedang"/>
    <x v="11"/>
    <s v="2EIWAD-O"/>
    <x v="0"/>
    <n v="1.65"/>
    <s v="MEAA-OH"/>
    <s v="CD Small"/>
    <x v="2"/>
    <m/>
    <m/>
    <s v="12A3312"/>
    <s v="001"/>
    <s v="2 / 5"/>
    <n v="2"/>
    <d v="2023-03-13T00:00:00"/>
    <d v="2023-03-14T00:00:00"/>
    <s v="Closed"/>
    <n v="2"/>
    <n v="0"/>
    <s v="Mr. Koko"/>
    <x v="9"/>
    <s v="SPECIAL PASS OK"/>
    <m/>
  </r>
  <r>
    <n v="45"/>
    <x v="4"/>
    <x v="0"/>
    <s v="sedang"/>
    <x v="17"/>
    <s v="D2IDW-4-B-2"/>
    <x v="0"/>
    <n v="0.44"/>
    <s v="DMIA"/>
    <s v="OD Big"/>
    <x v="2"/>
    <s v="Adjust Tension Diturunkan "/>
    <m/>
    <s v="V4B3312"/>
    <s v="002"/>
    <s v="10"/>
    <n v="1"/>
    <d v="2023-03-14T00:00:00"/>
    <d v="2023-03-14T00:00:00"/>
    <s v="Closed"/>
    <n v="1"/>
    <n v="0"/>
    <s v="Mr. Koko"/>
    <x v="30"/>
    <s v="SPECIAL PASS OK"/>
    <m/>
  </r>
  <r>
    <n v="46"/>
    <x v="4"/>
    <x v="0"/>
    <s v="sedang"/>
    <x v="2"/>
    <s v="2EIWAD-P"/>
    <x v="0"/>
    <n v="1.1499999999999999"/>
    <s v="LAMCOR"/>
    <s v="App NG"/>
    <x v="2"/>
    <s v="Siwa Dies Coat"/>
    <m/>
    <s v="V6B3310"/>
    <s v="001"/>
    <s v="4 / 7"/>
    <n v="2"/>
    <d v="2023-03-10T00:00:00"/>
    <d v="2023-03-14T00:00:00"/>
    <s v="Closed"/>
    <n v="2"/>
    <n v="0"/>
    <s v="Mr. Koko"/>
    <x v="55"/>
    <s v="SPECIAL PASS OK"/>
    <m/>
  </r>
  <r>
    <n v="47"/>
    <x v="4"/>
    <x v="0"/>
    <s v="sedang"/>
    <x v="9"/>
    <s v="D2IDW-4-B-2"/>
    <x v="0"/>
    <n v="0.7"/>
    <s v="DMIA"/>
    <s v="DF Big"/>
    <x v="2"/>
    <m/>
    <m/>
    <s v="VOB3312"/>
    <s v="003"/>
    <s v="1 S/D 5"/>
    <n v="5"/>
    <d v="2023-03-13T00:00:00"/>
    <d v="2023-03-14T00:00:00"/>
    <s v="Closed"/>
    <n v="5"/>
    <n v="0"/>
    <s v="Mr. Koko"/>
    <x v="15"/>
    <s v="SPECIAL PASS OK"/>
    <m/>
  </r>
  <r>
    <n v="48"/>
    <x v="4"/>
    <x v="0"/>
    <s v="sedang"/>
    <x v="0"/>
    <s v="2PEW"/>
    <x v="0"/>
    <n v="0.8"/>
    <s v="MELCO"/>
    <s v="Qty Horiba Small"/>
    <x v="25"/>
    <s v="Adjust Level Oil "/>
    <m/>
    <s v="11A3312"/>
    <s v="005"/>
    <s v="1 S/D 5"/>
    <n v="5"/>
    <d v="2023-03-13T00:00:00"/>
    <d v="2023-03-14T00:00:00"/>
    <s v="Closed"/>
    <n v="5"/>
    <n v="0"/>
    <s v="Mr. Koko"/>
    <x v="13"/>
    <s v="SPECIAL PASS OK"/>
    <m/>
  </r>
  <r>
    <n v="49"/>
    <x v="4"/>
    <x v="0"/>
    <s v="sedang"/>
    <x v="4"/>
    <s v="D1-IDW-4"/>
    <x v="0"/>
    <n v="1.1499999999999999"/>
    <s v="DENSO FAJAR"/>
    <s v="Blister"/>
    <x v="2"/>
    <s v="Change Dies Inline Sebelum Finish Dies "/>
    <m/>
    <s v="12B3311"/>
    <s v="006"/>
    <s v="3"/>
    <n v="1"/>
    <d v="2023-03-12T00:00:00"/>
    <d v="2023-03-14T00:00:00"/>
    <s v="Closed"/>
    <n v="1"/>
    <n v="0"/>
    <s v="Mr. Koko"/>
    <x v="4"/>
    <s v="SPECIAL PASS OK"/>
    <m/>
  </r>
  <r>
    <n v="50"/>
    <x v="4"/>
    <x v="0"/>
    <s v="sedang"/>
    <x v="5"/>
    <s v="1AIW"/>
    <x v="0"/>
    <n v="1.1000000000000001"/>
    <s v="DVC"/>
    <s v="Blister"/>
    <x v="2"/>
    <s v="- Cek Pass Line - Change Felt Sebelum Oven &amp; Sesudah Inline"/>
    <m/>
    <s v="V8C3311"/>
    <s v="003"/>
    <s v="3"/>
    <n v="1"/>
    <d v="2023-03-12T00:00:00"/>
    <d v="2023-03-14T00:00:00"/>
    <s v="Closed"/>
    <n v="1"/>
    <n v="0"/>
    <s v="Mr. Koko"/>
    <x v="56"/>
    <s v="SPECIAL PASS OK"/>
    <m/>
  </r>
  <r>
    <n v="51"/>
    <x v="4"/>
    <x v="0"/>
    <s v="sedang"/>
    <x v="10"/>
    <s v="1FBWCC"/>
    <x v="0"/>
    <n v="1"/>
    <s v="YEID"/>
    <s v="Horiba Small"/>
    <x v="2"/>
    <s v="Fp"/>
    <m/>
    <s v="V9B3309"/>
    <s v="Start Up"/>
    <s v="1"/>
    <s v="1"/>
    <d v="2023-03-10T00:00:00"/>
    <d v="2023-03-14T00:00:00"/>
    <s v="Closed"/>
    <n v="1"/>
    <n v="0"/>
    <s v="Mr. Koko"/>
    <x v="35"/>
    <s v="SPECIAL PASS OK"/>
    <m/>
  </r>
  <r>
    <n v="52"/>
    <x v="4"/>
    <x v="0"/>
    <s v="sedang"/>
    <x v="11"/>
    <s v="2EIWAD-O"/>
    <x v="0"/>
    <n v="1.65"/>
    <s v="MEAA-OH"/>
    <s v="CD Small"/>
    <x v="2"/>
    <s v="Rotary Inline &amp; Adjust Tension Diturunkan "/>
    <m/>
    <s v="12A3310"/>
    <s v="001"/>
    <s v="1.2.5"/>
    <n v="3"/>
    <d v="2023-03-11T00:00:00"/>
    <d v="2023-03-16T00:00:00"/>
    <s v="Closed"/>
    <n v="3"/>
    <n v="0"/>
    <s v="Mr. Koko"/>
    <x v="9"/>
    <s v="SPECIAL PASS OK"/>
    <m/>
  </r>
  <r>
    <n v="53"/>
    <x v="3"/>
    <x v="0"/>
    <s v="sedang"/>
    <x v="2"/>
    <s v="2EIWAD-OP"/>
    <x v="0"/>
    <n v="1.81"/>
    <s v="LAMCOR"/>
    <s v="BW Hempei"/>
    <x v="26"/>
    <s v="Rotary Dies Inline "/>
    <m/>
    <s v="V6B2225 &amp; V6B2226"/>
    <s v="003 / 004 / 001"/>
    <s v="4.6 / 4.6 / 4.6"/>
    <n v="6"/>
    <d v="2022-02-26T00:00:00"/>
    <d v="2022-03-23T00:00:00"/>
    <s v="Closed"/>
    <n v="6"/>
    <n v="0"/>
    <s v="Mr. Koko"/>
    <x v="54"/>
    <s v="SPECIAL PASS OK"/>
    <m/>
  </r>
  <r>
    <n v="1"/>
    <x v="4"/>
    <x v="0"/>
    <s v="sedang"/>
    <x v="10"/>
    <s v="1FBWCC"/>
    <x v="0"/>
    <n v="1"/>
    <s v="YEID"/>
    <s v="Blister"/>
    <x v="2"/>
    <s v="Siwa Dies Coat, Take Out Varnish"/>
    <m/>
    <s v="V9B3309"/>
    <s v="002"/>
    <s v="5.8.9.10"/>
    <n v="4"/>
    <d v="2023-03-10T00:00:00"/>
    <d v="2023-03-16T00:00:00"/>
    <s v="Closed"/>
    <n v="0"/>
    <n v="4"/>
    <s v="Mr. Koko"/>
    <x v="35"/>
    <s v="PRODUCT DISCRAPE"/>
    <m/>
  </r>
  <r>
    <n v="2"/>
    <x v="4"/>
    <x v="0"/>
    <s v="sedang"/>
    <x v="10"/>
    <s v="1FBWCC"/>
    <x v="0"/>
    <n v="1"/>
    <s v="YEID"/>
    <s v="Blister"/>
    <x v="2"/>
    <s v="Siwa Dies Coat, Rotary Inline"/>
    <m/>
    <s v="V9B3308"/>
    <s v="004 / 005"/>
    <s v="6.8.9 /  2.6.8.9"/>
    <n v="7"/>
    <d v="2023-03-09T00:00:00"/>
    <d v="2023-03-16T00:00:00"/>
    <s v="Closed"/>
    <n v="0"/>
    <n v="7"/>
    <s v="Mr. Koko"/>
    <x v="35"/>
    <s v="PRODUCT DISCRAPE"/>
    <m/>
  </r>
  <r>
    <n v="3"/>
    <x v="4"/>
    <x v="0"/>
    <s v="sedang"/>
    <x v="17"/>
    <s v="D2IDW-4-B-2"/>
    <x v="0"/>
    <n v="0.44"/>
    <s v="DMIA"/>
    <s v="OD Big"/>
    <x v="2"/>
    <s v="Adjust Tension Diperkuat"/>
    <m/>
    <s v="V4B3310"/>
    <s v="001"/>
    <n v="10"/>
    <n v="1"/>
    <d v="2023-03-12T00:00:00"/>
    <d v="2023-03-14T00:00:00"/>
    <s v="Closed"/>
    <n v="1"/>
    <n v="0"/>
    <s v="Mr. Koko"/>
    <x v="30"/>
    <s v="SPECIAL PASS OK"/>
    <m/>
  </r>
  <r>
    <n v="1"/>
    <x v="5"/>
    <x v="0"/>
    <s v="sedang"/>
    <x v="2"/>
    <s v="2EIWAD-O"/>
    <x v="0"/>
    <n v="1.81"/>
    <s v="MEAA-OH"/>
    <s v="SE Small"/>
    <x v="2"/>
    <s v="Temp 2nd Anneal Up 20°C"/>
    <m/>
    <s v="V6B2228 / V6B2301"/>
    <s v="001 / 002"/>
    <s v="1 / 5"/>
    <n v="2"/>
    <d v="2022-03-03T00:00:00"/>
    <d v="2022-03-07T00:00:00"/>
    <s v="Closed"/>
    <n v="2"/>
    <n v="0"/>
    <s v="Mr. Koko"/>
    <x v="20"/>
    <s v="SPECIAL PASS OK"/>
    <m/>
  </r>
  <r>
    <n v="2"/>
    <x v="5"/>
    <x v="0"/>
    <s v="sedang"/>
    <x v="2"/>
    <s v="2EIWAD-O"/>
    <x v="0"/>
    <n v="1.81"/>
    <s v="MEAA-OH"/>
    <s v="SE Small"/>
    <x v="2"/>
    <s v="Temp 2nd Anneal Up 20°C"/>
    <m/>
    <s v="V6B2228 / V6B2301 "/>
    <s v="001 / 001"/>
    <s v="5"/>
    <n v="2"/>
    <d v="2022-03-02T00:00:00"/>
    <d v="2022-03-07T00:00:00"/>
    <s v="Closed"/>
    <n v="2"/>
    <n v="0"/>
    <s v="Mr. Koko"/>
    <x v="20"/>
    <s v="SPECIAL PASS OK"/>
    <m/>
  </r>
  <r>
    <n v="4"/>
    <x v="5"/>
    <x v="0"/>
    <s v="sedang"/>
    <x v="11"/>
    <s v="2EIWAD-O"/>
    <x v="0"/>
    <n v="1.81"/>
    <s v="LAMCOR"/>
    <s v="M-Tan AI Small"/>
    <x v="2"/>
    <s v="Adjust Temperature Cure + Ctalyst Up 10°C"/>
    <m/>
    <s v="12A2318"/>
    <s v="Start Up"/>
    <s v="1 S/D 5"/>
    <n v="5"/>
    <d v="2022-03-18T00:00:00"/>
    <d v="2022-03-22T00:00:00"/>
    <s v="Closed"/>
    <n v="5"/>
    <n v="0"/>
    <s v="Mr. Koko"/>
    <x v="20"/>
    <s v="SPECIAL PASS OK"/>
    <m/>
  </r>
  <r>
    <n v="9"/>
    <x v="5"/>
    <x v="0"/>
    <s v="sedang"/>
    <x v="2"/>
    <s v="2EIWAD-O"/>
    <x v="0"/>
    <n v="1.81"/>
    <s v="MEAA-OH"/>
    <s v="SE Small"/>
    <x v="2"/>
    <s v="DU Down 29.7 ---&gt; 27.0 SE Still Small"/>
    <m/>
    <s v="V6B2303"/>
    <s v="Start Up"/>
    <s v="5"/>
    <n v="1"/>
    <d v="2022-03-03T00:00:00"/>
    <d v="2022-03-07T00:00:00"/>
    <s v="Closed"/>
    <n v="1"/>
    <n v="0"/>
    <s v="Mr. Koko"/>
    <x v="20"/>
    <s v="SPECIAL PASS OK"/>
    <m/>
  </r>
  <r>
    <n v="11"/>
    <x v="5"/>
    <x v="0"/>
    <s v="sedang"/>
    <x v="2"/>
    <s v="2EIWAD-O"/>
    <x v="0"/>
    <n v="1.81"/>
    <s v="MEAA-OH"/>
    <s v="SE Small"/>
    <x v="2"/>
    <s v="Change Final Dies Inline"/>
    <m/>
    <s v="V6B2302"/>
    <s v="002"/>
    <s v="5"/>
    <n v="1"/>
    <d v="2022-03-04T00:00:00"/>
    <d v="2022-03-07T00:00:00"/>
    <s v="Closed"/>
    <n v="1"/>
    <n v="0"/>
    <s v="Mr. Koko"/>
    <x v="20"/>
    <s v="SPECIAL PASS OK"/>
    <m/>
  </r>
  <r>
    <n v="15"/>
    <x v="5"/>
    <x v="0"/>
    <s v="sedang"/>
    <x v="1"/>
    <s v="2PEW"/>
    <x v="0"/>
    <n v="0.77"/>
    <s v="MEAINA"/>
    <s v="Parafin"/>
    <x v="2"/>
    <s v="Cleaning Sheave Makitori"/>
    <m/>
    <s v="11B2307"/>
    <s v="002"/>
    <s v="2"/>
    <n v="1"/>
    <d v="2022-03-08T00:00:00"/>
    <d v="2022-03-10T00:00:00"/>
    <s v="Closed"/>
    <n v="1"/>
    <n v="0"/>
    <s v="Mr. Koko"/>
    <x v="0"/>
    <s v="SPECIAL PASS OK"/>
    <m/>
  </r>
  <r>
    <n v="18"/>
    <x v="5"/>
    <x v="0"/>
    <s v="sedang"/>
    <x v="2"/>
    <s v="2EIWAD-O"/>
    <x v="0"/>
    <n v="1.81"/>
    <s v="MEAA-OH"/>
    <s v="SE Small"/>
    <x v="27"/>
    <s v="Change Final Dies Inline All Course"/>
    <m/>
    <s v="V6B2302"/>
    <s v="001"/>
    <s v="1.2.5"/>
    <n v="3"/>
    <d v="2022-03-04T00:00:00"/>
    <d v="2022-03-10T00:00:00"/>
    <s v="Closed"/>
    <n v="3"/>
    <n v="0"/>
    <s v="Mr. Koko"/>
    <x v="20"/>
    <s v="SPECIAL PASS OK"/>
    <m/>
  </r>
  <r>
    <n v="24"/>
    <x v="5"/>
    <x v="0"/>
    <s v="sedang"/>
    <x v="4"/>
    <s v="2EIWAD-OP"/>
    <x v="0"/>
    <n v="1.61"/>
    <s v="LAMCOR"/>
    <s v="DF Big"/>
    <x v="2"/>
    <s v="Fp"/>
    <m/>
    <s v="12B2326"/>
    <s v="005"/>
    <s v="1 S/D 5"/>
    <n v="5"/>
    <d v="2022-03-27T00:00:00"/>
    <d v="2022-03-28T00:00:00"/>
    <s v="Closed"/>
    <n v="5"/>
    <n v="0"/>
    <s v="Mr. Koko"/>
    <x v="57"/>
    <s v="SPECIAL PASS OK"/>
    <m/>
  </r>
  <r>
    <n v="5"/>
    <x v="6"/>
    <x v="0"/>
    <s v="sedang"/>
    <x v="1"/>
    <s v="2PEW"/>
    <x v="0"/>
    <n v="0.77"/>
    <s v="MELCO"/>
    <s v="Qty Horiba Small"/>
    <x v="2"/>
    <s v="Fp"/>
    <m/>
    <s v="11B2404"/>
    <s v="003"/>
    <s v="1.2.3.4.5"/>
    <n v="5"/>
    <d v="2022-04-05T00:00:00"/>
    <d v="2022-04-07T00:00:00"/>
    <s v="Closed"/>
    <n v="5"/>
    <n v="0"/>
    <s v="Mr. Koko"/>
    <x v="0"/>
    <s v="SPECIAL PASS OK"/>
    <m/>
  </r>
  <r>
    <n v="7"/>
    <x v="6"/>
    <x v="0"/>
    <s v="sedang"/>
    <x v="1"/>
    <s v="2PEW"/>
    <x v="0"/>
    <n v="0.77"/>
    <s v="MELCO / MEAINA"/>
    <s v="Qty Horiba Small"/>
    <x v="2"/>
    <s v="Adjust Tambah Level Oil "/>
    <m/>
    <s v="11B2403"/>
    <s v="001"/>
    <s v="1.2.3.4.5"/>
    <n v="5"/>
    <d v="2022-04-04T00:00:00"/>
    <d v="2022-04-12T00:00:00"/>
    <s v="Closed"/>
    <n v="5"/>
    <n v="0"/>
    <s v="Mr. Koko"/>
    <x v="0"/>
    <s v="SPECIAL PASS OK"/>
    <m/>
  </r>
  <r>
    <n v="8"/>
    <x v="6"/>
    <x v="0"/>
    <s v="sedang"/>
    <x v="1"/>
    <s v="2PEW"/>
    <x v="0"/>
    <n v="0.77"/>
    <s v="MELCO / MEAINA"/>
    <s v="Qty Horiba Small"/>
    <x v="28"/>
    <s v="Adjust Level Oil "/>
    <m/>
    <s v="11B2401"/>
    <s v="001"/>
    <s v="3"/>
    <n v="1"/>
    <d v="2022-04-04T00:00:00"/>
    <d v="2022-04-12T00:00:00"/>
    <s v="Closed"/>
    <n v="1"/>
    <n v="0"/>
    <s v="Mr. Koko"/>
    <x v="0"/>
    <s v="SPECIAL PASS OK"/>
    <m/>
  </r>
  <r>
    <n v="11"/>
    <x v="6"/>
    <x v="0"/>
    <s v="sedang"/>
    <x v="1"/>
    <s v="2PEW"/>
    <x v="0"/>
    <n v="0.77"/>
    <s v="MELCO / MEAINA"/>
    <s v="Qty Horiba Small"/>
    <x v="28"/>
    <s v="Adjust Level Oil "/>
    <m/>
    <s v="11B2402"/>
    <s v="002"/>
    <s v="1.2.3.4.5"/>
    <n v="5"/>
    <d v="2022-04-04T00:00:00"/>
    <d v="2022-04-12T00:00:00"/>
    <s v="Closed"/>
    <n v="5"/>
    <n v="0"/>
    <s v="Mr. Koko"/>
    <x v="0"/>
    <s v="SPECIAL PASS OK"/>
    <m/>
  </r>
  <r>
    <n v="13"/>
    <x v="6"/>
    <x v="0"/>
    <s v="sedang"/>
    <x v="11"/>
    <s v="2EIWAD-O"/>
    <x v="0"/>
    <n v="1.65"/>
    <s v="MEAA-OH"/>
    <s v="M-TAN Small"/>
    <x v="29"/>
    <s v="Adjust Temp. Up 10°C"/>
    <m/>
    <s v="12A2420"/>
    <s v="Start Up"/>
    <s v="1 S/D 5"/>
    <n v="5"/>
    <d v="2022-04-21T00:00:00"/>
    <d v="2022-04-25T00:00:00"/>
    <s v="Closed"/>
    <n v="5"/>
    <n v="0"/>
    <s v="Mr. Koko"/>
    <x v="9"/>
    <s v="SPECIAL PASS OK"/>
    <m/>
  </r>
  <r>
    <n v="14"/>
    <x v="6"/>
    <x v="0"/>
    <s v="sedang"/>
    <x v="1"/>
    <s v="2PEW"/>
    <x v="1"/>
    <n v="0.87"/>
    <s v="MELCO"/>
    <s v="Wire Break"/>
    <x v="30"/>
    <s v="Gant Barewire"/>
    <m/>
    <s v="11B2416"/>
    <s v="005"/>
    <s v="1 S/D 5"/>
    <n v="5"/>
    <d v="2022-04-11T00:00:00"/>
    <d v="2022-04-21T00:00:00"/>
    <s v="Closed"/>
    <n v="5"/>
    <n v="0"/>
    <s v="Mr. Koko"/>
    <x v="58"/>
    <s v="SPECIAL PASS OK"/>
    <m/>
  </r>
  <r>
    <n v="15"/>
    <x v="6"/>
    <x v="0"/>
    <s v="sedang"/>
    <x v="1"/>
    <s v="2PEW"/>
    <x v="1"/>
    <n v="0.8"/>
    <s v="MELCO"/>
    <s v="Wire Break"/>
    <x v="31"/>
    <s v="Sentos Ulang Inline"/>
    <m/>
    <s v="11B2410"/>
    <s v="002"/>
    <s v="1 S/D 5"/>
    <n v="5"/>
    <d v="2022-04-10T00:00:00"/>
    <d v="2022-04-21T00:00:00"/>
    <s v="Closed"/>
    <n v="5"/>
    <n v="0"/>
    <s v="Mr. Koko"/>
    <x v="13"/>
    <s v="SPECIAL PASS OK"/>
    <m/>
  </r>
  <r>
    <n v="18"/>
    <x v="6"/>
    <x v="0"/>
    <s v="sedang"/>
    <x v="1"/>
    <s v="2PEW"/>
    <x v="0"/>
    <n v="0.8"/>
    <s v="MELCO"/>
    <s v="Parafin"/>
    <x v="2"/>
    <s v="Fp"/>
    <m/>
    <s v="11B2415"/>
    <s v="002"/>
    <s v="3"/>
    <n v="1"/>
    <d v="2022-04-15T00:00:00"/>
    <d v="2022-04-19T00:00:00"/>
    <s v="Closed"/>
    <n v="1"/>
    <n v="0"/>
    <s v="Mr. Koko"/>
    <x v="13"/>
    <s v="SPECIAL PASS OK"/>
    <m/>
  </r>
  <r>
    <n v="22"/>
    <x v="6"/>
    <x v="0"/>
    <s v="sedang"/>
    <x v="1"/>
    <s v="2PEW"/>
    <x v="0"/>
    <n v="0.8"/>
    <s v="MELCO"/>
    <s v="Parafin"/>
    <x v="2"/>
    <s v="Cleaning Parafin"/>
    <m/>
    <s v="11B2411"/>
    <s v="002"/>
    <s v="1"/>
    <n v="1"/>
    <d v="2022-04-13T00:00:00"/>
    <d v="2022-04-21T00:00:00"/>
    <s v="Closed"/>
    <n v="1"/>
    <n v="0"/>
    <s v="Mr. Koko"/>
    <x v="13"/>
    <s v="SPECIAL PASS OK"/>
    <m/>
  </r>
  <r>
    <n v="23"/>
    <x v="6"/>
    <x v="0"/>
    <s v="sedang"/>
    <x v="1"/>
    <s v="2PEW"/>
    <x v="0"/>
    <n v="0.8"/>
    <s v="MELCO"/>
    <s v="Parafin"/>
    <x v="2"/>
    <s v="Cleaning Parafin Di Sheave Sebelum ke Reels"/>
    <m/>
    <s v="11B2412"/>
    <s v="001"/>
    <s v="1"/>
    <n v="1"/>
    <d v="2022-04-13T00:00:00"/>
    <d v="2022-04-21T00:00:00"/>
    <s v="Closed"/>
    <n v="1"/>
    <n v="0"/>
    <s v="Mr. Koko"/>
    <x v="13"/>
    <s v="SPECIAL PASS OK"/>
    <m/>
  </r>
  <r>
    <n v="29"/>
    <x v="6"/>
    <x v="0"/>
    <s v="sedang"/>
    <x v="1"/>
    <s v="2PEW"/>
    <x v="0"/>
    <n v="0.8"/>
    <s v="MELCO"/>
    <s v="Qty Horiba Kecil"/>
    <x v="2"/>
    <s v="Adjust Sumbu Oil"/>
    <m/>
    <s v="11B2405"/>
    <s v="004.005"/>
    <s v="1.2.3.4.5"/>
    <n v="10"/>
    <d v="2022-04-06T00:00:00"/>
    <d v="2022-04-13T00:00:00"/>
    <s v="Closed"/>
    <n v="10"/>
    <n v="0"/>
    <s v="Mr. Koko"/>
    <x v="13"/>
    <s v="SPECIAL PASS OK"/>
    <m/>
  </r>
  <r>
    <n v="35"/>
    <x v="6"/>
    <x v="0"/>
    <s v="sedang"/>
    <x v="1"/>
    <s v="2PEW"/>
    <x v="1"/>
    <n v="0.9"/>
    <s v="MELCO"/>
    <s v="Dip Voltage"/>
    <x v="32"/>
    <s v="Re Start Up"/>
    <m/>
    <s v="11B2422"/>
    <s v="001"/>
    <s v="1 S/D 5"/>
    <n v="5"/>
    <d v="2022-04-22T00:00:00"/>
    <d v="2022-04-27T00:00:00"/>
    <s v="Closed"/>
    <n v="5"/>
    <n v="0"/>
    <s v="Mr. Koko"/>
    <x v="5"/>
    <s v="SPECIAL PASS OK"/>
    <m/>
  </r>
  <r>
    <n v="45"/>
    <x v="6"/>
    <x v="0"/>
    <s v="sedang"/>
    <x v="1"/>
    <s v="2PEW"/>
    <x v="0"/>
    <n v="0.8"/>
    <s v="MELCO"/>
    <s v="APP NG"/>
    <x v="33"/>
    <s v="Ganti Felt &amp; Adjust Felt"/>
    <m/>
    <s v="11B2407"/>
    <s v="005"/>
    <s v="2"/>
    <n v="1"/>
    <d v="2022-04-08T00:00:00"/>
    <d v="2022-04-26T00:00:00"/>
    <s v="Closed"/>
    <n v="1"/>
    <n v="0"/>
    <s v="Mr. Koko"/>
    <x v="13"/>
    <s v="SPECIAL PASS OK"/>
    <m/>
  </r>
  <r>
    <n v="22"/>
    <x v="7"/>
    <x v="0"/>
    <s v="sedang"/>
    <x v="2"/>
    <s v="2EIWAD-O"/>
    <x v="0"/>
    <n v="1.65"/>
    <s v="MEAA-OH"/>
    <s v="Gulungan Mengecil"/>
    <x v="34"/>
    <s v="Adjust WS Turn Table, Set Ke Awal 18.3"/>
    <m/>
    <s v="V6B2522"/>
    <s v="001"/>
    <s v="1"/>
    <n v="1"/>
    <d v="2022-05-22T00:00:00"/>
    <d v="2022-05-27T00:00:00"/>
    <s v="Closed"/>
    <n v="1"/>
    <n v="0"/>
    <s v="Mr. Koko"/>
    <x v="9"/>
    <s v="SPECIAL PASS OK"/>
    <m/>
  </r>
  <r>
    <n v="32"/>
    <x v="7"/>
    <x v="0"/>
    <s v="sedang"/>
    <x v="0"/>
    <s v="2PEW"/>
    <x v="1"/>
    <n v="0.8"/>
    <s v="MELCO"/>
    <s v="CCD Laser Micro cn 2 Minim"/>
    <x v="35"/>
    <s v="Cek Daili OD Ok"/>
    <m/>
    <s v="11A2519"/>
    <s v="003 / 004"/>
    <s v="2"/>
    <n v="2"/>
    <d v="2022-05-20T00:00:00"/>
    <d v="2022-06-29T00:00:00"/>
    <s v="Closed"/>
    <n v="2"/>
    <n v="0"/>
    <s v="Mr. Koko"/>
    <x v="13"/>
    <s v="SPECIAL PASS OK"/>
    <m/>
  </r>
  <r>
    <n v="4"/>
    <x v="8"/>
    <x v="0"/>
    <s v="sedang"/>
    <x v="2"/>
    <s v="2EIWAD-O"/>
    <x v="0"/>
    <n v="1.65"/>
    <s v="MEAA-OH"/>
    <s v="CD Big &amp; FT Small"/>
    <x v="2"/>
    <s v="Adjust Tension Diturunkan "/>
    <m/>
    <s v="V6B2611"/>
    <s v="001"/>
    <s v="1.3"/>
    <n v="2"/>
    <d v="2022-06-11T00:00:00"/>
    <d v="2022-06-13T00:00:00"/>
    <s v="Closed"/>
    <n v="2"/>
    <n v="0"/>
    <s v="Mr. Koko"/>
    <x v="9"/>
    <s v="SPECIAL PASS OK"/>
    <m/>
  </r>
  <r>
    <n v="5"/>
    <x v="8"/>
    <x v="0"/>
    <s v="sedang"/>
    <x v="2"/>
    <s v="2EIWAD-O"/>
    <x v="0"/>
    <n v="1.65"/>
    <s v="MEAA-OH"/>
    <s v="CD Big &amp; FT Small"/>
    <x v="2"/>
    <s v="Adjust Tension Diturunkan "/>
    <m/>
    <s v="V6B2611"/>
    <s v="001"/>
    <s v="1.3"/>
    <n v="2"/>
    <d v="2022-06-11T00:00:00"/>
    <d v="2022-06-13T00:00:00"/>
    <s v="Closed"/>
    <n v="2"/>
    <n v="0"/>
    <s v="Mr. Koko"/>
    <x v="9"/>
    <s v="SPECIAL PASS OK"/>
    <m/>
  </r>
  <r>
    <n v="6"/>
    <x v="8"/>
    <x v="0"/>
    <s v="sedang"/>
    <x v="2"/>
    <s v="2EIWAD-O"/>
    <x v="0"/>
    <n v="1.65"/>
    <s v="MEAA-OH"/>
    <s v="Coating Thikness Small"/>
    <x v="2"/>
    <s v="Adjust Tension Winding FP-500 Diturunkan"/>
    <m/>
    <s v="V6B2602"/>
    <s v="001"/>
    <s v="1.3"/>
    <n v="2"/>
    <d v="2022-06-09T00:00:00"/>
    <d v="2022-06-13T00:00:00"/>
    <s v="Closed"/>
    <n v="2"/>
    <n v="0"/>
    <s v="Mr. Koko"/>
    <x v="9"/>
    <s v="SPECIAL PASS OK"/>
    <m/>
  </r>
  <r>
    <n v="8"/>
    <x v="8"/>
    <x v="0"/>
    <s v="sedang"/>
    <x v="2"/>
    <s v="2EIWAD-O"/>
    <x v="0"/>
    <n v="1.65"/>
    <s v="MEAA-OH"/>
    <s v="M-TAN Small"/>
    <x v="2"/>
    <s v="Adjust Temperature Cure Zone &amp; Catalyst Dinaikkan 10°C "/>
    <m/>
    <s v="V6B2606"/>
    <s v="001 / 002"/>
    <s v="1 S/D 6 / 3"/>
    <n v="7"/>
    <d v="2022-06-06T00:00:00"/>
    <d v="2022-06-08T00:00:00"/>
    <s v="Closed"/>
    <n v="7"/>
    <n v="0"/>
    <s v="Mr. Koko"/>
    <x v="9"/>
    <s v="SPECIAL PASS OK"/>
    <m/>
  </r>
  <r>
    <n v="20"/>
    <x v="8"/>
    <x v="0"/>
    <s v="sedang"/>
    <x v="16"/>
    <s v="2EIWAD-SS"/>
    <x v="1"/>
    <n v="1.27"/>
    <s v="MEAINA"/>
    <s v="Out Sheave"/>
    <x v="36"/>
    <s v="Position Wire Line Change"/>
    <m/>
    <s v="V6A2606"/>
    <s v="001"/>
    <s v="4"/>
    <n v="1"/>
    <d v="2022-06-07T00:00:00"/>
    <d v="2022-06-13T00:00:00"/>
    <s v="Closed"/>
    <n v="1"/>
    <n v="0"/>
    <s v="Mr. Koko"/>
    <x v="59"/>
    <s v="SPECIAL PASS OK"/>
    <m/>
  </r>
  <r>
    <n v="26"/>
    <x v="8"/>
    <x v="0"/>
    <s v="sedang"/>
    <x v="11"/>
    <s v="2EIWAD-O"/>
    <x v="0"/>
    <n v="1.81"/>
    <s v="MEAA-OH"/>
    <s v="CD Small"/>
    <x v="2"/>
    <s v="Adjust Tension Winding"/>
    <m/>
    <s v="12A2618"/>
    <s v="001"/>
    <s v="5"/>
    <n v="1"/>
    <d v="2022-06-19T00:00:00"/>
    <d v="2022-06-20T00:00:00"/>
    <s v="Closed"/>
    <n v="1"/>
    <n v="0"/>
    <s v="Mr. Koko"/>
    <x v="20"/>
    <s v="SPECIAL PASS OK"/>
    <m/>
  </r>
  <r>
    <n v="23"/>
    <x v="9"/>
    <x v="0"/>
    <s v="sedang"/>
    <x v="8"/>
    <s v="2EIWAD-EPS"/>
    <x v="0"/>
    <n v="1.25"/>
    <s v="MELCO"/>
    <s v="APP Blister"/>
    <x v="2"/>
    <s v="Ganti Neru"/>
    <m/>
    <s v="V9A2709"/>
    <s v="006"/>
    <s v="8"/>
    <n v="1"/>
    <d v="2022-07-10T00:00:00"/>
    <d v="2022-07-18T00:00:00"/>
    <s v="Closed"/>
    <n v="1"/>
    <n v="0"/>
    <s v="Mr. Koko"/>
    <x v="60"/>
    <s v="SPECIAL PASS OK"/>
    <m/>
  </r>
  <r>
    <n v="38"/>
    <x v="9"/>
    <x v="0"/>
    <s v="sedang"/>
    <x v="1"/>
    <s v="2PEW"/>
    <x v="1"/>
    <n v="0.8"/>
    <s v="MELCO"/>
    <s v="Laser Micro Alarm"/>
    <x v="37"/>
    <s v="Rotary Dies Inline"/>
    <m/>
    <s v="11B2721"/>
    <s v="001"/>
    <s v="5"/>
    <n v="1"/>
    <d v="2022-07-21T00:00:00"/>
    <d v="2022-07-28T00:00:00"/>
    <s v="Closed"/>
    <n v="1"/>
    <n v="0"/>
    <s v="Mr. Koko"/>
    <x v="13"/>
    <s v="SPECIAL PASS OK"/>
    <m/>
  </r>
  <r>
    <n v="39"/>
    <x v="9"/>
    <x v="0"/>
    <s v="sedang"/>
    <x v="11"/>
    <s v="2EIWAD-O"/>
    <x v="1"/>
    <n v="1.81"/>
    <s v="MEAA-OH"/>
    <s v="Wire Nyentuh Besi"/>
    <x v="38"/>
    <s v="Pasang Baut Distand New Lite"/>
    <m/>
    <s v="12A2718"/>
    <s v="002"/>
    <s v="5"/>
    <n v="1"/>
    <d v="2022-07-19T00:00:00"/>
    <d v="2022-07-28T00:00:00"/>
    <s v="Closed"/>
    <n v="0"/>
    <n v="1"/>
    <s v="Mr. Koko"/>
    <x v="20"/>
    <s v="PRODUCT DISCRAPE"/>
    <m/>
  </r>
  <r>
    <n v="44"/>
    <x v="9"/>
    <x v="0"/>
    <s v="sedang"/>
    <x v="0"/>
    <s v="2PEW"/>
    <x v="0"/>
    <n v="0.85"/>
    <s v="MELCO"/>
    <s v="Parafin"/>
    <x v="2"/>
    <s v="Fp"/>
    <m/>
    <s v="11A2728"/>
    <s v="002"/>
    <s v="2"/>
    <n v="1"/>
    <d v="2022-07-29T00:00:00"/>
    <d v="2022-08-05T00:00:00"/>
    <s v="Closed"/>
    <n v="1"/>
    <n v="0"/>
    <s v="Mr. Koko"/>
    <x v="52"/>
    <s v="SPECIAL PASS OK"/>
    <m/>
  </r>
  <r>
    <n v="45"/>
    <x v="9"/>
    <x v="0"/>
    <s v="sedang"/>
    <x v="1"/>
    <s v="2PEW"/>
    <x v="0"/>
    <n v="0.8"/>
    <s v="MELCO"/>
    <s v="Parafin"/>
    <x v="2"/>
    <s v="Fp"/>
    <m/>
    <s v="11B2728"/>
    <s v="005"/>
    <s v="1.4.5"/>
    <n v="3"/>
    <d v="2022-07-29T00:00:00"/>
    <d v="2022-08-05T00:00:00"/>
    <s v="Closed"/>
    <n v="3"/>
    <n v="0"/>
    <s v="Mr. Koko"/>
    <x v="13"/>
    <s v="SPECIAL PASS OK"/>
    <m/>
  </r>
  <r>
    <n v="1"/>
    <x v="4"/>
    <x v="0"/>
    <s v="sedang"/>
    <x v="7"/>
    <s v="D2-PEW-B-1"/>
    <x v="0"/>
    <n v="0.5"/>
    <s v="TOYOTSU"/>
    <s v="Grinding Scratch"/>
    <x v="2"/>
    <m/>
    <m/>
    <s v="V4A3303"/>
    <s v="001"/>
    <s v="2"/>
    <n v="1"/>
    <d v="2023-03-04T00:00:00"/>
    <d v="2023-03-16T00:00:00"/>
    <s v="Closed"/>
    <n v="1"/>
    <n v="0"/>
    <s v="Mr. Koko"/>
    <x v="61"/>
    <s v="SPECIAL PASS OK"/>
    <m/>
  </r>
  <r>
    <n v="2"/>
    <x v="4"/>
    <x v="0"/>
    <s v="sedang"/>
    <x v="0"/>
    <s v="2PEW"/>
    <x v="1"/>
    <n v="0.8"/>
    <s v="MELCO"/>
    <s v="Alarm Laser Micro"/>
    <x v="39"/>
    <s v="Fp"/>
    <m/>
    <s v="11A3313"/>
    <s v="001"/>
    <s v="3.4.5"/>
    <n v="3"/>
    <d v="2023-03-14T00:00:00"/>
    <d v="2023-03-30T00:00:00"/>
    <s v="Closed"/>
    <n v="3"/>
    <n v="0"/>
    <s v="Mr. Koko"/>
    <x v="61"/>
    <s v="SPECIAL PASS OK"/>
    <m/>
  </r>
  <r>
    <n v="3"/>
    <x v="4"/>
    <x v="0"/>
    <s v="sedang"/>
    <x v="10"/>
    <s v="1FBWCC"/>
    <x v="0"/>
    <n v="1"/>
    <s v="YEID"/>
    <s v="Blister"/>
    <x v="2"/>
    <s v="Fp"/>
    <m/>
    <s v="V9B3309"/>
    <s v="001"/>
    <s v="1.2.9.10"/>
    <n v="4"/>
    <d v="2023-03-10T00:00:00"/>
    <d v="2023-03-16T00:00:00"/>
    <s v="Closed"/>
    <n v="0"/>
    <n v="4"/>
    <s v="Mr. Koko"/>
    <x v="61"/>
    <s v="PRODUCT DISCRAPE"/>
    <m/>
  </r>
  <r>
    <n v="4"/>
    <x v="4"/>
    <x v="0"/>
    <s v="sedang"/>
    <x v="1"/>
    <s v="2PEW"/>
    <x v="0"/>
    <n v="0.85"/>
    <s v="MELCO"/>
    <s v="Horiba Small"/>
    <x v="2"/>
    <s v="Fp"/>
    <m/>
    <s v="11B3322 / 11B3323"/>
    <s v="002 / 001"/>
    <s v="1 S/D 5 / 1 S/D 5"/>
    <n v="10"/>
    <d v="2023-03-23T00:00:00"/>
    <d v="2023-03-27T00:00:00"/>
    <s v="Closed"/>
    <n v="10"/>
    <n v="0"/>
    <s v="Mr. Koko"/>
    <x v="61"/>
    <s v="SPECIAL PASS OK"/>
    <m/>
  </r>
  <r>
    <n v="5"/>
    <x v="4"/>
    <x v="0"/>
    <s v="sedang"/>
    <x v="1"/>
    <s v="2PEW"/>
    <x v="0"/>
    <n v="0.85"/>
    <s v="MELCO"/>
    <s v="Qty Oil Horiba Small"/>
    <x v="2"/>
    <s v="Fp"/>
    <m/>
    <s v="11B3322 "/>
    <s v="001"/>
    <s v="1 S/D 5"/>
    <n v="5"/>
    <d v="2023-03-27T00:00:00"/>
    <d v="2023-03-27T00:00:00"/>
    <s v="Closed"/>
    <n v="5"/>
    <n v="0"/>
    <s v="Mr. Koko"/>
    <x v="61"/>
    <s v="SPECIAL PASS OK"/>
    <m/>
  </r>
  <r>
    <n v="6"/>
    <x v="4"/>
    <x v="0"/>
    <s v="sedang"/>
    <x v="17"/>
    <s v="D2IDW-4-B-2"/>
    <x v="0"/>
    <n v="0.4"/>
    <s v="DMIA"/>
    <s v="CD Small"/>
    <x v="2"/>
    <s v="Fp"/>
    <m/>
    <s v="V4B3323"/>
    <s v="001"/>
    <s v="7.8"/>
    <n v="2"/>
    <d v="2023-03-27T00:00:00"/>
    <d v="2023-03-27T00:00:00"/>
    <s v="Closed"/>
    <n v="2"/>
    <n v="0"/>
    <s v="Mr. Koko"/>
    <x v="61"/>
    <s v="SPECIAL PASS OK"/>
    <m/>
  </r>
  <r>
    <n v="7"/>
    <x v="4"/>
    <x v="0"/>
    <s v="sedang"/>
    <x v="10"/>
    <s v="0FBWSHC"/>
    <x v="0"/>
    <n v="1.2"/>
    <s v="MITSUBA"/>
    <s v="CD Small"/>
    <x v="2"/>
    <s v="Fp"/>
    <m/>
    <s v="V9B3323"/>
    <s v="001 / 002 "/>
    <s v="3.5 / 5"/>
    <n v="3"/>
    <d v="2023-03-07T00:00:00"/>
    <d v="2023-03-27T00:00:00"/>
    <s v="Closed"/>
    <n v="3"/>
    <n v="0"/>
    <s v="Mr. Koko"/>
    <x v="61"/>
    <s v="SPECIAL PASS OK"/>
    <m/>
  </r>
  <r>
    <n v="8"/>
    <x v="4"/>
    <x v="0"/>
    <s v="sedang"/>
    <x v="3"/>
    <s v="1PEW"/>
    <x v="0"/>
    <n v="2.7"/>
    <s v="SEI-OEM"/>
    <s v="CD Small"/>
    <x v="2"/>
    <s v="WS Inline"/>
    <m/>
    <s v="V8A3323"/>
    <s v="001"/>
    <s v="1"/>
    <n v="1"/>
    <d v="2023-03-23T00:00:00"/>
    <d v="2023-03-27T00:00:00"/>
    <s v="Closed"/>
    <n v="1"/>
    <n v="0"/>
    <s v="Mr. Koko"/>
    <x v="61"/>
    <s v="SPECIAL PASS OK"/>
    <m/>
  </r>
  <r>
    <n v="9"/>
    <x v="4"/>
    <x v="0"/>
    <s v="sedang"/>
    <x v="10"/>
    <s v="0FBWSHC"/>
    <x v="0"/>
    <n v="1.2"/>
    <s v="MITSUBA"/>
    <s v="CD Big &amp; Coating Thickness Small"/>
    <x v="2"/>
    <s v="Siwa Dies Coating"/>
    <m/>
    <s v="V9B3322"/>
    <s v="002"/>
    <s v="2.4"/>
    <n v="2"/>
    <d v="2023-03-23T00:00:00"/>
    <d v="2023-03-27T00:00:00"/>
    <s v="Closed"/>
    <n v="1"/>
    <n v="0"/>
    <s v="Mr. Koko"/>
    <x v="61"/>
    <s v="SPECIAL PASS OK"/>
    <m/>
  </r>
  <r>
    <m/>
    <x v="4"/>
    <x v="0"/>
    <s v="sedang"/>
    <x v="1"/>
    <s v="1AIW"/>
    <x v="0"/>
    <n v="1.1499999999999999"/>
    <s v="MITSUBA"/>
    <s v="CD Small"/>
    <x v="2"/>
    <s v="Fp"/>
    <m/>
    <s v="11B3329"/>
    <s v="003"/>
    <s v="1"/>
    <n v="1"/>
    <d v="2023-03-30T00:00:00"/>
    <d v="2023-03-31T00:00:00"/>
    <s v="Closed"/>
    <n v="1"/>
    <n v="0"/>
    <s v="Mr. Koko"/>
    <x v="61"/>
    <s v="SPECIAL PASS OK"/>
    <m/>
  </r>
  <r>
    <m/>
    <x v="4"/>
    <x v="0"/>
    <s v="sedang"/>
    <x v="4"/>
    <s v="1PEW"/>
    <x v="0"/>
    <n v="1.7"/>
    <s v="SEI-OEM"/>
    <s v="CD Small"/>
    <x v="2"/>
    <s v="Fp"/>
    <m/>
    <s v="12B3326"/>
    <s v="002 / 004 / 010 / 011"/>
    <s v="3.5 / 3 / 3.5 / 5"/>
    <n v="6"/>
    <d v="2023-03-28T00:00:00"/>
    <d v="2023-03-29T00:00:00"/>
    <s v="Closed"/>
    <n v="6"/>
    <n v="0"/>
    <s v="Mr. Koko"/>
    <x v="61"/>
    <s v="SPECIAL PASS OK"/>
    <m/>
  </r>
  <r>
    <m/>
    <x v="4"/>
    <x v="0"/>
    <s v="sedang"/>
    <x v="4"/>
    <s v="1PEW"/>
    <x v="0"/>
    <n v="1.7"/>
    <s v="SEI-OEM"/>
    <s v="OD Hempei / ECC Big"/>
    <x v="2"/>
    <s v="Fp"/>
    <m/>
    <s v="12B3327"/>
    <s v="001 / 002"/>
    <s v="2 / 2"/>
    <n v="2"/>
    <d v="2023-03-27T00:00:00"/>
    <d v="2023-03-29T00:00:00"/>
    <s v="Closed"/>
    <n v="2"/>
    <n v="0"/>
    <s v="Mr. Koko"/>
    <x v="61"/>
    <s v="SPECIAL PASS OK"/>
    <m/>
  </r>
  <r>
    <m/>
    <x v="4"/>
    <x v="0"/>
    <s v="sedang"/>
    <x v="7"/>
    <s v="D2DSW2"/>
    <x v="0"/>
    <n v="0.5"/>
    <s v="HAMADEN"/>
    <s v="Rolling Condutor"/>
    <x v="2"/>
    <s v="Fp"/>
    <m/>
    <s v="V4A3323"/>
    <s v="001"/>
    <s v="2"/>
    <n v="1"/>
    <d v="2023-03-27T00:00:00"/>
    <d v="2023-03-29T00:00:00"/>
    <s v="Closed"/>
    <n v="1"/>
    <n v="0"/>
    <s v="Mr. Koko"/>
    <x v="61"/>
    <s v="SPECIAL PASS OK"/>
    <m/>
  </r>
  <r>
    <n v="11"/>
    <x v="4"/>
    <x v="0"/>
    <s v="sedang"/>
    <x v="1"/>
    <s v="1AIW"/>
    <x v="0"/>
    <n v="0.9"/>
    <s v="MITSUBA"/>
    <s v="Gulungan Silang"/>
    <x v="2"/>
    <m/>
    <m/>
    <s v="11B3330"/>
    <s v="001"/>
    <s v="3"/>
    <n v="1"/>
    <d v="2023-03-31T00:00:00"/>
    <d v="2023-04-05T00:00:00"/>
    <s v="Closed"/>
    <n v="1"/>
    <n v="0"/>
    <s v="Mr. Koko"/>
    <x v="61"/>
    <s v="SPECIAL PASS OK"/>
    <m/>
  </r>
  <r>
    <m/>
    <x v="4"/>
    <x v="0"/>
    <s v="sedang"/>
    <x v="10"/>
    <s v="0FBWSHC"/>
    <x v="0"/>
    <n v="1.2"/>
    <s v="MITSUBA"/>
    <s v="CD Hempei"/>
    <x v="2"/>
    <s v="Rotary Inline Dies"/>
    <m/>
    <s v="V9B3321"/>
    <s v="002"/>
    <s v="4"/>
    <n v="1"/>
    <d v="2023-03-22T00:00:00"/>
    <d v="2023-03-29T00:00:00"/>
    <s v="Closed"/>
    <n v="0"/>
    <n v="1"/>
    <s v="Mr. Koko"/>
    <x v="61"/>
    <s v="PRODUCT DISCRAPE"/>
    <m/>
  </r>
  <r>
    <n v="13"/>
    <x v="4"/>
    <x v="1"/>
    <s v="sedang"/>
    <x v="19"/>
    <s v="D2IDW4-B-2"/>
    <x v="0"/>
    <n v="0.16"/>
    <s v="HITACHI ASTEMO"/>
    <s v="ECC Big"/>
    <x v="2"/>
    <m/>
    <m/>
    <s v="H763307"/>
    <s v="001"/>
    <s v="4 / 13"/>
    <n v="2"/>
    <d v="2023-03-09T00:00:00"/>
    <d v="2023-03-09T00:00:00"/>
    <s v="Closed"/>
    <n v="2"/>
    <n v="0"/>
    <s v="Mr. Koko"/>
    <x v="61"/>
    <s v="SPECIAL PASS OK"/>
    <m/>
  </r>
  <r>
    <n v="14"/>
    <x v="4"/>
    <x v="1"/>
    <s v="sedang"/>
    <x v="14"/>
    <s v="D2IDW4-B-2"/>
    <x v="1"/>
    <n v="0.26"/>
    <s v="DMIA"/>
    <s v="Temperature Digital Eror"/>
    <x v="40"/>
    <s v="Cleaning Roll Adjust Socket Temperature Catalyst"/>
    <m/>
    <s v="H2A3303"/>
    <s v="001"/>
    <s v="1 S/D 5"/>
    <n v="5"/>
    <d v="2023-03-03T00:00:00"/>
    <d v="2023-03-15T00:00:00"/>
    <s v="Closed"/>
    <n v="5"/>
    <n v="0"/>
    <s v="Mr. Koko"/>
    <x v="61"/>
    <s v="SPECIAL PASS OK"/>
    <m/>
  </r>
  <r>
    <n v="1"/>
    <x v="4"/>
    <x v="1"/>
    <s v="sedang"/>
    <x v="22"/>
    <s v="2-ATZ-300"/>
    <x v="0"/>
    <n v="0.35"/>
    <s v="VIETNAM TOYO DENSO"/>
    <s v="CD Small"/>
    <x v="2"/>
    <s v="Set Tension"/>
    <m/>
    <s v="H2B3301"/>
    <s v="001"/>
    <s v="1"/>
    <n v="1"/>
    <d v="2023-03-01T00:00:00"/>
    <d v="2023-03-14T00:00:00"/>
    <s v="Closed"/>
    <n v="1"/>
    <n v="0"/>
    <s v="Mr. Koko"/>
    <x v="61"/>
    <s v="SPECIAL PASS OK"/>
    <m/>
  </r>
  <r>
    <n v="2"/>
    <x v="4"/>
    <x v="1"/>
    <s v="sedang"/>
    <x v="12"/>
    <s v="2PEW"/>
    <x v="0"/>
    <n v="0.35"/>
    <s v="MAPI"/>
    <s v="Color Big"/>
    <x v="2"/>
    <s v="Temperature Diturunkan 10°C"/>
    <m/>
    <s v="H3A3309"/>
    <s v="002"/>
    <s v="1"/>
    <n v="1"/>
    <d v="2023-03-09T00:00:00"/>
    <d v="2023-03-16T00:00:00"/>
    <s v="Closed"/>
    <n v="0"/>
    <n v="1"/>
    <s v="Mr. Koko"/>
    <x v="61"/>
    <s v="PRODUCT DISCRAPE"/>
    <m/>
  </r>
  <r>
    <n v="3"/>
    <x v="4"/>
    <x v="1"/>
    <s v="sedang"/>
    <x v="12"/>
    <s v="2PEW"/>
    <x v="0"/>
    <n v="0.35"/>
    <s v="MAPI"/>
    <s v="Color NG"/>
    <x v="2"/>
    <m/>
    <m/>
    <s v="H3A3309"/>
    <s v="001"/>
    <s v="1"/>
    <n v="1"/>
    <d v="2023-03-09T00:00:00"/>
    <d v="2023-03-16T00:00:00"/>
    <s v="Closed"/>
    <n v="0"/>
    <n v="1"/>
    <s v="Mr. Koko"/>
    <x v="61"/>
    <s v="PRODUCT DISCRAPE"/>
    <m/>
  </r>
  <r>
    <n v="4"/>
    <x v="4"/>
    <x v="1"/>
    <s v="sedang"/>
    <x v="12"/>
    <s v="2PEW"/>
    <x v="0"/>
    <n v="0.35"/>
    <s v="MAPI"/>
    <s v="Warna Gelap"/>
    <x v="2"/>
    <s v="- Setting Dumper Oven - Temperature Curing Diturunkan 30°C - Kuras Varnish Ditanki "/>
    <m/>
    <s v="H3A3309"/>
    <s v="003"/>
    <s v="1"/>
    <n v="1"/>
    <d v="2023-03-10T00:00:00"/>
    <d v="2023-03-16T00:00:00"/>
    <s v="Closed"/>
    <n v="0"/>
    <n v="1"/>
    <s v="Mr. Koko"/>
    <x v="61"/>
    <s v="PRODUCT DISCRAPE"/>
    <m/>
  </r>
  <r>
    <n v="5"/>
    <x v="4"/>
    <x v="1"/>
    <s v="sedang"/>
    <x v="20"/>
    <s v="D2IDW4-B-2"/>
    <x v="0"/>
    <n v="0.26"/>
    <s v="SEI-ASMO"/>
    <s v="ECC Big"/>
    <x v="21"/>
    <s v="Change Dies Coating"/>
    <m/>
    <s v="H1A3321"/>
    <s v="001"/>
    <s v="5"/>
    <n v="1"/>
    <d v="2023-03-23T00:00:00"/>
    <d v="2023-03-28T00:00:00"/>
    <s v="Closed"/>
    <n v="1"/>
    <n v="0"/>
    <s v="Mr. Koko"/>
    <x v="61"/>
    <s v="SPECIAL PASS OK"/>
    <m/>
  </r>
  <r>
    <n v="6"/>
    <x v="4"/>
    <x v="1"/>
    <s v="sedang"/>
    <x v="24"/>
    <s v="D2IDW4-B-2"/>
    <x v="0"/>
    <n v="0.26"/>
    <s v="SEI-ASMO"/>
    <s v="BW Scratch / ECC Big"/>
    <x v="21"/>
    <s v="Ganti Dies"/>
    <m/>
    <s v="Advance Sample H1B"/>
    <s v="001"/>
    <s v="3"/>
    <n v="1"/>
    <d v="2023-03-23T00:00:00"/>
    <d v="2023-03-28T00:00:00"/>
    <s v="Closed"/>
    <n v="1"/>
    <n v="0"/>
    <s v="Mr. Koko"/>
    <x v="61"/>
    <s v="SPECIAL PASS OK"/>
    <m/>
  </r>
  <r>
    <n v="7"/>
    <x v="4"/>
    <x v="1"/>
    <s v="sedang"/>
    <x v="20"/>
    <s v="D2IDW4-B-2"/>
    <x v="0"/>
    <n v="0.26"/>
    <s v="SEI-ASMO"/>
    <s v="ECC Big"/>
    <x v="2"/>
    <s v="Change Dies Coating"/>
    <m/>
    <s v="H1A3325"/>
    <s v="001"/>
    <s v="5"/>
    <n v="1"/>
    <d v="2023-03-27T00:00:00"/>
    <d v="2023-03-28T00:00:00"/>
    <s v="Closed"/>
    <n v="1"/>
    <n v="0"/>
    <s v="Mr. Koko"/>
    <x v="61"/>
    <s v="SPECIAL PASS OK"/>
    <m/>
  </r>
  <r>
    <n v="8"/>
    <x v="4"/>
    <x v="1"/>
    <s v="sedang"/>
    <x v="18"/>
    <s v="D2IDW4-B-2"/>
    <x v="0"/>
    <n v="0.26"/>
    <s v="SEI-ASMO"/>
    <s v="ECC Molding Big"/>
    <x v="41"/>
    <m/>
    <m/>
    <s v="H1B3325"/>
    <s v="001"/>
    <s v="3"/>
    <n v="1"/>
    <d v="2023-03-26T00:00:00"/>
    <d v="2023-03-28T00:00:00"/>
    <s v="Closed"/>
    <n v="1"/>
    <n v="0"/>
    <s v="Mr. Koko"/>
    <x v="61"/>
    <s v="SPECIAL PASS OK"/>
    <m/>
  </r>
  <r>
    <n v="9"/>
    <x v="4"/>
    <x v="1"/>
    <s v="sedang"/>
    <x v="20"/>
    <s v="D2IDW4-B-2"/>
    <x v="0"/>
    <n v="0.26"/>
    <s v="SEI-ASMO"/>
    <s v="ECC Big"/>
    <x v="42"/>
    <s v="Change Dies Inline &amp; Coating"/>
    <m/>
    <s v="H1A3321"/>
    <s v="001"/>
    <s v="1"/>
    <n v="1"/>
    <d v="2023-03-22T00:00:00"/>
    <d v="2023-03-28T00:00:00"/>
    <s v="Closed"/>
    <n v="0"/>
    <n v="1"/>
    <s v="Mr. Koko"/>
    <x v="61"/>
    <s v="PRODUCT DISCRAPE"/>
    <m/>
  </r>
  <r>
    <n v="10"/>
    <x v="4"/>
    <x v="1"/>
    <s v="sedang"/>
    <x v="21"/>
    <s v="1AIW"/>
    <x v="0"/>
    <n v="0.28999999999999998"/>
    <s v="NDKI"/>
    <s v="DF Big"/>
    <x v="2"/>
    <s v="Temperature Oven Dinaikkan 10°C"/>
    <m/>
    <s v="H523328"/>
    <s v="001"/>
    <s v="8"/>
    <n v="1"/>
    <d v="2023-03-28T00:00:00"/>
    <d v="2023-03-29T00:00:00"/>
    <s v="Closed"/>
    <n v="1"/>
    <n v="0"/>
    <s v="Mr. Koko"/>
    <x v="61"/>
    <s v="SPECIAL PASS OK"/>
    <m/>
  </r>
  <r>
    <n v="11"/>
    <x v="4"/>
    <x v="1"/>
    <s v="sedang"/>
    <x v="21"/>
    <s v="1AIW"/>
    <x v="0"/>
    <n v="0.28999999999999998"/>
    <s v="NDKI"/>
    <s v="DF Big"/>
    <x v="2"/>
    <m/>
    <m/>
    <s v="H523327"/>
    <s v="001"/>
    <s v="1"/>
    <n v="1"/>
    <d v="2023-03-28T00:00:00"/>
    <d v="2023-03-29T00:00:00"/>
    <s v="Closed"/>
    <n v="1"/>
    <n v="0"/>
    <s v="Mr. Koko"/>
    <x v="61"/>
    <s v="SPECIAL PASS OK"/>
    <m/>
  </r>
  <r>
    <n v="12"/>
    <x v="4"/>
    <x v="1"/>
    <s v="sedang"/>
    <x v="20"/>
    <s v="D2IDW4-B-2"/>
    <x v="0"/>
    <n v="0.26"/>
    <s v="SEI-ASMO"/>
    <s v="OD Big"/>
    <x v="2"/>
    <s v="Set Tension"/>
    <m/>
    <s v="H1A3331"/>
    <s v="001"/>
    <s v="1"/>
    <n v="1"/>
    <d v="2023-04-01T00:00:00"/>
    <d v="2023-04-11T00:00:00"/>
    <s v="Closed"/>
    <n v="1"/>
    <n v="0"/>
    <s v="Mr. Koko"/>
    <x v="61"/>
    <s v="SPECIAL PASS OK"/>
    <m/>
  </r>
  <r>
    <n v="13"/>
    <x v="10"/>
    <x v="0"/>
    <s v="sedang"/>
    <x v="5"/>
    <s v="1AIW-S"/>
    <x v="0"/>
    <n v="0.65"/>
    <s v="PIDSG"/>
    <s v="Gulungan Silang"/>
    <x v="2"/>
    <m/>
    <m/>
    <s v="V8C3405"/>
    <s v="001"/>
    <s v="1"/>
    <n v="1"/>
    <d v="2023-04-06T00:00:00"/>
    <d v="2023-04-10T00:00:00"/>
    <s v="Closed"/>
    <n v="1"/>
    <n v="0"/>
    <s v="Mr. Koko"/>
    <x v="61"/>
    <s v="SPECIAL PASS OK"/>
    <m/>
  </r>
  <r>
    <n v="14"/>
    <x v="10"/>
    <x v="0"/>
    <s v="sedang"/>
    <x v="1"/>
    <s v="D2-IDW-4E"/>
    <x v="0"/>
    <n v="0.75"/>
    <s v="DENSO FAJAR PLANT"/>
    <s v="Gulungan Keluar "/>
    <x v="43"/>
    <s v="Rewinding"/>
    <m/>
    <s v="11B3404"/>
    <s v="005"/>
    <s v="2"/>
    <n v="1"/>
    <d v="2023-04-05T00:00:00"/>
    <d v="2023-04-10T00:00:00"/>
    <s v="Closed"/>
    <n v="1"/>
    <n v="0"/>
    <s v="Mr. Koko"/>
    <x v="61"/>
    <s v="SPECIAL PASS OK"/>
    <m/>
  </r>
  <r>
    <n v="15"/>
    <x v="10"/>
    <x v="0"/>
    <s v="sedang"/>
    <x v="3"/>
    <s v="1PEW"/>
    <x v="0"/>
    <n v="1.2"/>
    <s v="SEI-OEM"/>
    <s v="CD Small"/>
    <x v="2"/>
    <s v="Adjust Tension"/>
    <m/>
    <s v="V8A3403"/>
    <s v="001"/>
    <s v="1"/>
    <n v="1"/>
    <d v="2023-04-03T00:00:00"/>
    <d v="2023-04-04T00:00:00"/>
    <s v="Closed"/>
    <n v="1"/>
    <n v="0"/>
    <s v="Mr. Koko"/>
    <x v="61"/>
    <s v="SPECIAL PASS OK"/>
    <m/>
  </r>
  <r>
    <n v="16"/>
    <x v="10"/>
    <x v="0"/>
    <s v="sedang"/>
    <x v="2"/>
    <s v="2EIWAD-SS"/>
    <x v="0"/>
    <n v="1.27"/>
    <s v="MEAINA"/>
    <s v="SE, OD, CD Small"/>
    <x v="44"/>
    <m/>
    <m/>
    <s v="V6B3403"/>
    <s v="001"/>
    <s v="3.4.7"/>
    <n v="3"/>
    <d v="2023-04-04T00:00:00"/>
    <d v="2023-04-10T00:00:00"/>
    <s v="Closed"/>
    <n v="3"/>
    <n v="0"/>
    <s v="Mr. Koko"/>
    <x v="61"/>
    <s v="SPECIAL PASS OK"/>
    <m/>
  </r>
  <r>
    <n v="17"/>
    <x v="10"/>
    <x v="0"/>
    <s v="sedang"/>
    <x v="11"/>
    <s v="2EIWAD-O"/>
    <x v="0"/>
    <n v="1.81"/>
    <s v="MEAA-OH"/>
    <s v="DF Big"/>
    <x v="2"/>
    <m/>
    <m/>
    <s v="12A3402"/>
    <s v="001"/>
    <s v="1.2.5"/>
    <n v="3"/>
    <d v="2023-04-04T00:00:00"/>
    <d v="2023-04-04T00:00:00"/>
    <s v="Closed"/>
    <n v="3"/>
    <n v="0"/>
    <s v="Mr. Koko"/>
    <x v="61"/>
    <s v="SPECIAL PASS OK"/>
    <m/>
  </r>
  <r>
    <n v="18"/>
    <x v="10"/>
    <x v="0"/>
    <s v="sedang"/>
    <x v="8"/>
    <s v="D1-PEW-B-2Y"/>
    <x v="0"/>
    <n v="0.9"/>
    <s v="WIN-A"/>
    <s v="Qty Horiba Small "/>
    <x v="2"/>
    <m/>
    <m/>
    <s v="V9A3411"/>
    <s v="001"/>
    <s v="1 S/D 9"/>
    <n v="9"/>
    <d v="2023-04-13T00:00:00"/>
    <d v="2023-04-14T00:00:00"/>
    <s v="Closed"/>
    <n v="9"/>
    <n v="0"/>
    <s v="Mr. Koko"/>
    <x v="61"/>
    <s v="SPECIAL PASS OK"/>
    <m/>
  </r>
  <r>
    <n v="19"/>
    <x v="10"/>
    <x v="0"/>
    <s v="sedang"/>
    <x v="25"/>
    <s v="2PEW"/>
    <x v="0"/>
    <n v="0.85"/>
    <s v="MELCO"/>
    <s v="SE Big"/>
    <x v="2"/>
    <s v="Temp. Annealer Diturunkan 20°C"/>
    <m/>
    <s v="V1A3412"/>
    <s v="002"/>
    <s v="1 S/D 7"/>
    <n v="7"/>
    <d v="2023-04-13T00:00:00"/>
    <d v="2023-04-14T00:00:00"/>
    <s v="Closed"/>
    <n v="7"/>
    <n v="0"/>
    <s v="Mr. Koko"/>
    <x v="61"/>
    <s v="SPECIAL PASS OK"/>
    <m/>
  </r>
  <r>
    <n v="20"/>
    <x v="10"/>
    <x v="0"/>
    <s v="sedang"/>
    <x v="25"/>
    <s v="2PEW"/>
    <x v="0"/>
    <n v="0.85"/>
    <s v="MELCO"/>
    <s v="SE Big"/>
    <x v="2"/>
    <s v="Temp. Annealer Diturunkan 20°C"/>
    <m/>
    <s v="V1A3412"/>
    <s v="001"/>
    <s v="1 S/D 7"/>
    <n v="7"/>
    <d v="2023-04-13T00:00:00"/>
    <d v="2023-04-14T00:00:00"/>
    <s v="Closed"/>
    <n v="7"/>
    <n v="0"/>
    <s v="Mr. Koko"/>
    <x v="61"/>
    <s v="SPECIAL PASS OK"/>
    <m/>
  </r>
  <r>
    <n v="21"/>
    <x v="10"/>
    <x v="0"/>
    <s v="sedang"/>
    <x v="25"/>
    <s v="2PEW"/>
    <x v="0"/>
    <n v="0.85"/>
    <s v="MELCO"/>
    <s v="SE Big"/>
    <x v="2"/>
    <s v="Adjust Tension Diperkuat"/>
    <m/>
    <s v="V1A3411"/>
    <s v="001"/>
    <s v="1 S/D 7"/>
    <n v="7"/>
    <d v="2023-04-12T00:00:00"/>
    <d v="2023-04-14T00:00:00"/>
    <s v="Closed"/>
    <n v="7"/>
    <n v="0"/>
    <s v="Mr. Koko"/>
    <x v="61"/>
    <s v="SPECIAL PASS OK"/>
    <m/>
  </r>
  <r>
    <n v="22"/>
    <x v="10"/>
    <x v="0"/>
    <s v="sedang"/>
    <x v="9"/>
    <s v="D2IDW-4-B-2"/>
    <x v="0"/>
    <n v="0.7"/>
    <s v="DMIA / WIN-A (DMNC-G)"/>
    <s v="Qty Horiba Small "/>
    <x v="2"/>
    <s v="Fp"/>
    <m/>
    <s v="VOB3411"/>
    <s v="004"/>
    <s v="1 S/D 5"/>
    <n v="5"/>
    <d v="2023-04-13T00:00:00"/>
    <d v="2023-04-13T00:00:00"/>
    <s v="Closed"/>
    <n v="5"/>
    <n v="0"/>
    <s v="Mr. Koko"/>
    <x v="61"/>
    <s v="SPECIAL PASS OK"/>
    <m/>
  </r>
  <r>
    <n v="23"/>
    <x v="10"/>
    <x v="0"/>
    <s v="sedang"/>
    <x v="5"/>
    <s v="1AIW-S"/>
    <x v="0"/>
    <n v="0.65"/>
    <s v="PIDSG"/>
    <s v="Bad Winding"/>
    <x v="2"/>
    <s v="Cek Traverse Winding"/>
    <m/>
    <s v="V8C3406"/>
    <s v="001"/>
    <s v="2"/>
    <n v="1"/>
    <d v="2023-04-12T00:00:00"/>
    <d v="2023-04-14T00:00:00"/>
    <s v="Closed"/>
    <n v="1"/>
    <n v="0"/>
    <s v="Mr. Koko"/>
    <x v="61"/>
    <s v="SPECIAL PASS OK"/>
    <m/>
  </r>
  <r>
    <n v="24"/>
    <x v="10"/>
    <x v="0"/>
    <s v="sedang"/>
    <x v="3"/>
    <s v="1AIW"/>
    <x v="0"/>
    <n v="1.3"/>
    <s v="DVC"/>
    <s v="DF Kecil"/>
    <x v="2"/>
    <s v="Temp. Upper &amp; Catalyst Diturunkan 10°C"/>
    <m/>
    <s v="V8A3410"/>
    <s v="001"/>
    <s v="1"/>
    <n v="1"/>
    <d v="2023-04-10T00:00:00"/>
    <d v="2023-04-14T00:00:00"/>
    <s v="Closed"/>
    <n v="1"/>
    <n v="0"/>
    <s v="Mr. Koko"/>
    <x v="61"/>
    <s v="SPECIAL PASS OK"/>
    <m/>
  </r>
  <r>
    <n v="25"/>
    <x v="10"/>
    <x v="0"/>
    <s v="sedang"/>
    <x v="5"/>
    <s v="1AIW-S"/>
    <x v="0"/>
    <n v="0.65"/>
    <s v="PIDSG"/>
    <s v="Gulungan Kendor Ke bawah"/>
    <x v="2"/>
    <s v="Adjust T/U Tension"/>
    <m/>
    <s v="V8C3406"/>
    <s v="008"/>
    <s v="2"/>
    <n v="1"/>
    <d v="2023-04-12T00:00:00"/>
    <d v="2023-04-14T00:00:00"/>
    <s v="Closed"/>
    <n v="1"/>
    <n v="0"/>
    <s v="Mr. Koko"/>
    <x v="61"/>
    <s v="SPECIAL PASS OK"/>
    <m/>
  </r>
  <r>
    <n v="26"/>
    <x v="10"/>
    <x v="0"/>
    <s v="sedang"/>
    <x v="7"/>
    <s v="D2DSW2"/>
    <x v="0"/>
    <n v="0.5"/>
    <s v="HAMADEN"/>
    <s v="Gulungan Silang"/>
    <x v="2"/>
    <m/>
    <m/>
    <s v="V4A3410"/>
    <s v="001"/>
    <s v="3"/>
    <n v="1"/>
    <d v="2023-04-11T00:00:00"/>
    <d v="2023-04-14T00:00:00"/>
    <s v="Closed"/>
    <n v="1"/>
    <n v="0"/>
    <s v="Mr. Koko"/>
    <x v="61"/>
    <s v="SPECIAL PASS OK"/>
    <m/>
  </r>
  <r>
    <n v="27"/>
    <x v="10"/>
    <x v="0"/>
    <s v="sedang"/>
    <x v="8"/>
    <s v="D1PEW-B-2Y"/>
    <x v="1"/>
    <n v="0.9"/>
    <s v="DMIA"/>
    <s v="Temp. Pressure Box Fluktuasi"/>
    <x v="45"/>
    <s v="Sambungan Kabel Pressure Box Direnggangin Biar Ga Nempel Ke Body Mesin"/>
    <m/>
    <s v="V9A3412"/>
    <s v="001 / 002"/>
    <s v="1 S/D 9"/>
    <n v="18"/>
    <d v="2023-04-13T00:00:00"/>
    <d v="2023-04-17T00:00:00"/>
    <s v="Closed"/>
    <n v="18"/>
    <n v="0"/>
    <s v="Mr. Koko"/>
    <x v="61"/>
    <s v="SPECIAL PASS OK"/>
    <m/>
  </r>
  <r>
    <n v="29"/>
    <x v="10"/>
    <x v="0"/>
    <s v="sedang"/>
    <x v="10"/>
    <s v="0FBWCC"/>
    <x v="0"/>
    <n v="1.1000000000000001"/>
    <s v="YEID"/>
    <s v="Blister"/>
    <x v="2"/>
    <s v="Little Scrap"/>
    <m/>
    <s v="V9B3416"/>
    <s v="001"/>
    <s v="2.3.4.5"/>
    <n v="4"/>
    <d v="2023-04-16T00:00:00"/>
    <d v="2023-04-17T00:00:00"/>
    <s v="Closed"/>
    <n v="4"/>
    <n v="0"/>
    <s v="Mr. Koko"/>
    <x v="61"/>
    <s v="SPECIAL PASS OK"/>
    <m/>
  </r>
  <r>
    <n v="30"/>
    <x v="10"/>
    <x v="0"/>
    <s v="sedang"/>
    <x v="0"/>
    <s v="D1PEW-B-2Y"/>
    <x v="0"/>
    <n v="0.9"/>
    <s v="DMIA"/>
    <s v="Qty Horiba Small "/>
    <x v="2"/>
    <s v="Tambah Level Oil SPB"/>
    <m/>
    <s v="11A3414 / 11A3416"/>
    <s v="006 / 006"/>
    <s v="1 S/D 5 / 1 S/D 5"/>
    <n v="10"/>
    <d v="2023-04-17T00:00:00"/>
    <d v="2023-04-18T00:00:00"/>
    <s v="Closed"/>
    <n v="10"/>
    <n v="0"/>
    <s v="Mr. Koko"/>
    <x v="61"/>
    <s v="SPECIAL PASS OK"/>
    <m/>
  </r>
  <r>
    <n v="31"/>
    <x v="10"/>
    <x v="0"/>
    <s v="sedang"/>
    <x v="6"/>
    <s v="D2IDW4A-1"/>
    <x v="0"/>
    <n v="0.57999999999999996"/>
    <s v="TACI"/>
    <s v="Blister"/>
    <x v="2"/>
    <s v="- BW Change - Rotary Dies Inline"/>
    <m/>
    <s v="V8D3409"/>
    <s v="002"/>
    <s v="3"/>
    <n v="1"/>
    <d v="2023-04-11T00:00:00"/>
    <d v="2023-04-18T00:00:00"/>
    <s v="Closed"/>
    <n v="1"/>
    <n v="0"/>
    <s v="Mr. Koko"/>
    <x v="61"/>
    <s v="SPECIAL PASS OK"/>
    <m/>
  </r>
  <r>
    <n v="32"/>
    <x v="10"/>
    <x v="0"/>
    <s v="sedang"/>
    <x v="9"/>
    <s v="D1-PEW-B-2T"/>
    <x v="0"/>
    <n v="0.56000000000000005"/>
    <s v="DMIA"/>
    <s v="Blister"/>
    <x v="2"/>
    <s v="Fp"/>
    <m/>
    <s v="VOB3415"/>
    <s v="003"/>
    <s v="3"/>
    <n v="1"/>
    <d v="2023-04-17T00:00:00"/>
    <d v="2023-04-18T00:00:00"/>
    <s v="Closed"/>
    <n v="1"/>
    <n v="0"/>
    <s v="Mr. Koko"/>
    <x v="61"/>
    <s v="SPECIAL PASS OK"/>
    <m/>
  </r>
  <r>
    <n v="33"/>
    <x v="10"/>
    <x v="0"/>
    <s v="sedang"/>
    <x v="0"/>
    <s v="D1PEW-B-2Y"/>
    <x v="0"/>
    <n v="0.9"/>
    <s v="DMIA"/>
    <s v="Horiba Small"/>
    <x v="2"/>
    <s v="Tambah Oil"/>
    <m/>
    <s v="11A3417"/>
    <s v="002"/>
    <s v="1 S/D 5"/>
    <n v="5"/>
    <d v="2023-04-17T00:00:00"/>
    <d v="2023-04-18T00:00:00"/>
    <s v="Closed"/>
    <n v="5"/>
    <n v="0"/>
    <s v="Mr. Koko"/>
    <x v="61"/>
    <s v="SPECIAL PASS OK"/>
    <m/>
  </r>
  <r>
    <m/>
    <x v="10"/>
    <x v="0"/>
    <s v="sedang"/>
    <x v="4"/>
    <s v="D1-IDW-4"/>
    <x v="0"/>
    <n v="1.1499999999999999"/>
    <s v="DENSO FAJAR PLANT"/>
    <s v="Bad Winding"/>
    <x v="2"/>
    <s v="Traverse Check"/>
    <m/>
    <s v="12B3429"/>
    <s v="006"/>
    <s v="2"/>
    <n v="1"/>
    <d v="2023-04-30T00:00:00"/>
    <d v="2023-05-04T00:00:00"/>
    <s v="Closed"/>
    <n v="1"/>
    <n v="0"/>
    <s v="Mr. Koko"/>
    <x v="61"/>
    <s v="SPECIAL PASS OK"/>
    <m/>
  </r>
  <r>
    <m/>
    <x v="10"/>
    <x v="0"/>
    <s v="sedang"/>
    <x v="17"/>
    <s v="D2IDW-4-B-2"/>
    <x v="0"/>
    <n v="0.42"/>
    <s v="DMIA"/>
    <s v="OD Small"/>
    <x v="2"/>
    <s v="Adjust Tension Produk"/>
    <m/>
    <s v="V4B3430"/>
    <s v="001"/>
    <s v="3"/>
    <n v="1"/>
    <d v="2023-05-02T00:00:00"/>
    <d v="2023-05-03T00:00:00"/>
    <s v="Closed"/>
    <n v="1"/>
    <n v="0"/>
    <s v="Mr. Koko"/>
    <x v="61"/>
    <s v="SPECIAL PASS OK"/>
    <m/>
  </r>
  <r>
    <m/>
    <x v="10"/>
    <x v="0"/>
    <s v="sedang"/>
    <x v="11"/>
    <s v="2EIWAD-O"/>
    <x v="0"/>
    <n v="1.65"/>
    <s v="MEAA-OH"/>
    <s v="CD Big, FT Small"/>
    <x v="2"/>
    <s v="Adjust T/U Cn 2"/>
    <m/>
    <s v="12A3427"/>
    <s v="001"/>
    <s v="2"/>
    <n v="1"/>
    <d v="2023-05-02T00:00:00"/>
    <d v="2023-05-03T00:00:00"/>
    <s v="Closed"/>
    <n v="1"/>
    <n v="0"/>
    <s v="Mr. Koko"/>
    <x v="61"/>
    <s v="SPECIAL PASS OK"/>
    <m/>
  </r>
  <r>
    <m/>
    <x v="10"/>
    <x v="0"/>
    <s v="sedang"/>
    <x v="0"/>
    <s v="D1PEW-B-2Y"/>
    <x v="0"/>
    <n v="0.9"/>
    <s v="DMIA"/>
    <s v="Qty Horiba Small "/>
    <x v="2"/>
    <s v="Fp"/>
    <m/>
    <s v="11A3417"/>
    <s v="005"/>
    <s v="1 S/D 5"/>
    <n v="5"/>
    <d v="2023-04-26T00:00:00"/>
    <d v="2023-04-28T00:00:00"/>
    <s v="Closed"/>
    <n v="5"/>
    <n v="0"/>
    <s v="Mr. Koko"/>
    <x v="61"/>
    <s v="SPECIAL PASS OK"/>
    <m/>
  </r>
  <r>
    <m/>
    <x v="10"/>
    <x v="0"/>
    <s v="sedang"/>
    <x v="10"/>
    <s v="0FBWCC"/>
    <x v="0"/>
    <n v="1.1000000000000001"/>
    <s v="YEID"/>
    <s v="App NG"/>
    <x v="2"/>
    <s v="Fp"/>
    <m/>
    <s v="V9B3417"/>
    <s v="002 / 003"/>
    <s v="2 / 4"/>
    <n v="2"/>
    <d v="2023-04-26T00:00:00"/>
    <d v="2023-04-28T00:00:00"/>
    <s v="Closed"/>
    <n v="2"/>
    <n v="0"/>
    <s v="Mr. Koko"/>
    <x v="61"/>
    <s v="SPECIAL PASS OK"/>
    <m/>
  </r>
  <r>
    <m/>
    <x v="10"/>
    <x v="0"/>
    <s v="sedang"/>
    <x v="10"/>
    <s v="0FBWCC"/>
    <x v="0"/>
    <n v="1.1000000000000001"/>
    <s v="YEID"/>
    <s v="Blister"/>
    <x v="2"/>
    <s v="Fp"/>
    <m/>
    <s v="V9B3416"/>
    <s v="002 / 003 "/>
    <s v="2 / 4"/>
    <n v="2"/>
    <d v="2023-04-26T00:00:00"/>
    <d v="2023-04-28T00:00:00"/>
    <s v="Closed"/>
    <n v="2"/>
    <n v="0"/>
    <s v="Mr. Koko"/>
    <x v="61"/>
    <s v="SPECIAL PASS OK"/>
    <m/>
  </r>
  <r>
    <m/>
    <x v="10"/>
    <x v="0"/>
    <s v="sedang"/>
    <x v="6"/>
    <s v="D2IDW4A-1"/>
    <x v="0"/>
    <n v="0.57999999999999996"/>
    <s v="TACI"/>
    <s v="Blister"/>
    <x v="2"/>
    <s v="Siwa, Rotary Inline &amp; Cleaning  Botton Drum"/>
    <m/>
    <s v="V8D3411"/>
    <s v="002"/>
    <s v="4"/>
    <n v="1"/>
    <d v="2023-04-14T00:00:00"/>
    <d v="2023-04-14T00:00:00"/>
    <s v="Closed"/>
    <n v="1"/>
    <n v="0"/>
    <s v="Mr. Koko"/>
    <x v="61"/>
    <s v="SPECIAL PASS OK"/>
    <m/>
  </r>
  <r>
    <m/>
    <x v="10"/>
    <x v="0"/>
    <s v="sedang"/>
    <x v="4"/>
    <s v="2EIWAD-EPS"/>
    <x v="0"/>
    <n v="1.25"/>
    <s v="MELCO"/>
    <s v="Produk Kotor (Luar)"/>
    <x v="46"/>
    <s v="Disemprot Air Gun "/>
    <m/>
    <s v="12B3331 / 12B3401 &amp; 02"/>
    <s v="001"/>
    <s v="1 S/D 5"/>
    <n v="15"/>
    <d v="2023-04-04T00:00:00"/>
    <d v="2023-04-28T00:00:00"/>
    <s v="Closed"/>
    <n v="15"/>
    <n v="0"/>
    <s v="Mr. Koko"/>
    <x v="61"/>
    <s v="SPECIAL PASS OK"/>
    <m/>
  </r>
  <r>
    <m/>
    <x v="10"/>
    <x v="0"/>
    <s v="sedang"/>
    <x v="7"/>
    <s v="D2DSW2"/>
    <x v="0"/>
    <n v="0.5"/>
    <s v="HAMADEN"/>
    <s v="Produk Kotor (Luar)"/>
    <x v="47"/>
    <s v="Disemprot Air Gun "/>
    <m/>
    <s v="V4A3331 / V4A3401 &amp; 02"/>
    <s v="001 / 002"/>
    <s v="1 S/D 10"/>
    <n v="30"/>
    <d v="2023-04-04T00:00:00"/>
    <d v="2023-04-28T00:00:00"/>
    <s v="Closed"/>
    <n v="30"/>
    <n v="0"/>
    <s v="Mr. Koko"/>
    <x v="61"/>
    <s v="SPECIAL PASS OK"/>
    <m/>
  </r>
  <r>
    <m/>
    <x v="10"/>
    <x v="0"/>
    <s v="sedang"/>
    <x v="0"/>
    <s v="2PEW"/>
    <x v="0"/>
    <n v="0.8"/>
    <s v="MELCO"/>
    <s v="Produk Kotor (Luar)"/>
    <x v="47"/>
    <s v="Disemprot Air Gun "/>
    <m/>
    <s v="11A3331 / 11A3401 &amp; 02"/>
    <s v="001"/>
    <s v="1 S/D 5"/>
    <n v="56"/>
    <d v="2023-04-04T00:00:00"/>
    <d v="2023-04-28T00:00:00"/>
    <s v="Closed"/>
    <n v="56"/>
    <n v="0"/>
    <s v="Mr. Koko"/>
    <x v="61"/>
    <s v="SPECIAL PASS OK"/>
    <m/>
  </r>
  <r>
    <m/>
    <x v="10"/>
    <x v="0"/>
    <s v="sedang"/>
    <x v="0"/>
    <s v="2PEW"/>
    <x v="1"/>
    <n v="0.8"/>
    <s v="MELCO"/>
    <s v="BW Grade B std S/A"/>
    <x v="2"/>
    <s v="Ganti Grade S/A"/>
    <m/>
    <s v="11A3426"/>
    <s v="001 / 002"/>
    <s v="1.3.4.5 / 3.4.5"/>
    <n v="7"/>
    <d v="2023-04-27T00:00:00"/>
    <d v="2023-05-02T00:00:00"/>
    <s v="Closed"/>
    <n v="7"/>
    <n v="0"/>
    <s v="Mr. Koko"/>
    <x v="61"/>
    <s v="SPECIAL PASS OK"/>
    <m/>
  </r>
  <r>
    <m/>
    <x v="10"/>
    <x v="0"/>
    <s v="sedang"/>
    <x v="3"/>
    <s v="1AIW"/>
    <x v="1"/>
    <n v="1.3"/>
    <s v="DVC"/>
    <s v="Out Sheave"/>
    <x v="2"/>
    <s v="Geser. Check Pass Line After Spool Change"/>
    <m/>
    <s v="V8A3412"/>
    <s v="002"/>
    <s v="1"/>
    <n v="1"/>
    <d v="2023-04-12T00:00:00"/>
    <d v="2023-05-03T00:00:00"/>
    <s v="Closed"/>
    <n v="1"/>
    <n v="0"/>
    <s v="Mr. Koko"/>
    <x v="61"/>
    <s v="SPECIAL PASS OK"/>
    <m/>
  </r>
  <r>
    <m/>
    <x v="10"/>
    <x v="0"/>
    <s v="sedang"/>
    <x v="3"/>
    <s v="D1IDW-4-B-1"/>
    <x v="1"/>
    <n v="1.7"/>
    <s v="DENSO FAJAR PLANT"/>
    <s v="Out Sheave"/>
    <x v="2"/>
    <s v="Check Pass Line After Spool Change"/>
    <m/>
    <s v="V8A3413"/>
    <s v="002"/>
    <s v="1"/>
    <n v="1"/>
    <d v="2023-04-13T00:00:00"/>
    <d v="2023-05-03T00:00:00"/>
    <s v="Closed"/>
    <n v="1"/>
    <n v="0"/>
    <s v="Mr. Koko"/>
    <x v="61"/>
    <s v="SPECIAL PASS OK"/>
    <m/>
  </r>
  <r>
    <m/>
    <x v="10"/>
    <x v="0"/>
    <s v="sedang"/>
    <x v="0"/>
    <s v="2PEW"/>
    <x v="0"/>
    <n v="0.8"/>
    <s v="MELCO"/>
    <s v="Grinding NG"/>
    <x v="2"/>
    <m/>
    <m/>
    <s v="11A3430"/>
    <s v="002"/>
    <s v="3"/>
    <n v="1"/>
    <d v="2023-05-02T00:00:00"/>
    <d v="2023-05-08T00:00:00"/>
    <s v="Closed"/>
    <n v="1"/>
    <n v="0"/>
    <s v="Mr. Koko"/>
    <x v="61"/>
    <s v="SPECIAL PASS OK"/>
    <m/>
  </r>
  <r>
    <m/>
    <x v="10"/>
    <x v="0"/>
    <s v="sedang"/>
    <x v="0"/>
    <s v="D2-IDW-4E"/>
    <x v="1"/>
    <n v="0.83"/>
    <s v="DENSO FAJAR"/>
    <s v="CCD Laser Micro Alarm"/>
    <x v="2"/>
    <m/>
    <m/>
    <s v="11A3408"/>
    <s v="002"/>
    <s v="2"/>
    <n v="1"/>
    <d v="2023-05-24T00:00:00"/>
    <d v="2023-05-24T00:00:00"/>
    <s v="Closed"/>
    <n v="1"/>
    <n v="0"/>
    <s v="Mr. Koko"/>
    <x v="61"/>
    <s v="SPECIAL PASS OK"/>
    <m/>
  </r>
  <r>
    <m/>
    <x v="10"/>
    <x v="0"/>
    <s v="sedang"/>
    <x v="7"/>
    <s v="D2DSW2"/>
    <x v="1"/>
    <n v="0.5"/>
    <s v="HAMADEN"/>
    <s v="Temperature Upper Evap Down"/>
    <x v="2"/>
    <s v="Mc Stop"/>
    <m/>
    <s v="V4A3402"/>
    <s v="001"/>
    <s v="1 S/D 10"/>
    <n v="10"/>
    <d v="2023-04-04T00:00:00"/>
    <d v="2023-05-23T00:00:00"/>
    <s v="Closed"/>
    <n v="10"/>
    <n v="0"/>
    <s v="Mr. Koko"/>
    <x v="61"/>
    <s v="SPECIAL PASS OK"/>
    <m/>
  </r>
  <r>
    <n v="34"/>
    <x v="10"/>
    <x v="1"/>
    <s v="sedang"/>
    <x v="20"/>
    <s v="D2IDW4-B-2"/>
    <x v="0"/>
    <n v="0.26"/>
    <s v="SEI-ASMO"/>
    <s v="OD Hempei"/>
    <x v="2"/>
    <s v="Cleaning &amp; Rotary Dies"/>
    <m/>
    <s v="H1A3413"/>
    <s v="002"/>
    <s v="5"/>
    <n v="1"/>
    <d v="2023-04-13T00:00:00"/>
    <d v="2023-04-26T00:00:00"/>
    <s v="Closed"/>
    <n v="1"/>
    <n v="0"/>
    <s v="Mr. Koko"/>
    <x v="61"/>
    <s v="SPECIAL PASS OK"/>
    <m/>
  </r>
  <r>
    <n v="35"/>
    <x v="10"/>
    <x v="1"/>
    <s v="sedang"/>
    <x v="14"/>
    <s v="D2IDW4-B-2"/>
    <x v="0"/>
    <n v="0.26"/>
    <s v="DMIA"/>
    <s v="OD Small"/>
    <x v="2"/>
    <s v="Set Tension"/>
    <m/>
    <s v="H2A3407"/>
    <s v="001"/>
    <s v="5"/>
    <n v="1"/>
    <d v="2023-04-07T00:00:00"/>
    <d v="2023-04-26T00:00:00"/>
    <s v="Closed"/>
    <n v="1"/>
    <n v="0"/>
    <s v="Mr. Koko"/>
    <x v="61"/>
    <s v="SPECIAL PASS OK"/>
    <m/>
  </r>
  <r>
    <n v="36"/>
    <x v="10"/>
    <x v="1"/>
    <s v="sedang"/>
    <x v="14"/>
    <s v="D2IDW4-B-2"/>
    <x v="0"/>
    <n v="0.26"/>
    <s v="DMIA"/>
    <s v="OD Small"/>
    <x v="2"/>
    <s v="Set Tension"/>
    <m/>
    <s v="H2A3405"/>
    <s v="001"/>
    <s v="1"/>
    <n v="1"/>
    <d v="2023-04-05T00:00:00"/>
    <d v="2023-04-26T00:00:00"/>
    <s v="Closed"/>
    <n v="1"/>
    <n v="0"/>
    <s v="Mr. Koko"/>
    <x v="61"/>
    <s v="SPECIAL PASS OK"/>
    <m/>
  </r>
  <r>
    <n v="37"/>
    <x v="10"/>
    <x v="1"/>
    <s v="sedang"/>
    <x v="26"/>
    <s v="1UEW"/>
    <x v="0"/>
    <n v="0.4"/>
    <s v="YEID"/>
    <s v="CD Small"/>
    <x v="2"/>
    <m/>
    <m/>
    <s v="H4B3413"/>
    <s v="003.004.005.006"/>
    <s v="1"/>
    <n v="4"/>
    <d v="2023-04-14T00:00:00"/>
    <d v="2023-04-26T00:00:00"/>
    <s v="Closed"/>
    <n v="4"/>
    <n v="0"/>
    <s v="Mr. Koko"/>
    <x v="61"/>
    <s v="SPECIAL PASS OK"/>
    <m/>
  </r>
  <r>
    <n v="38"/>
    <x v="10"/>
    <x v="1"/>
    <s v="sedang"/>
    <x v="12"/>
    <s v="2AIW"/>
    <x v="0"/>
    <n v="0.21"/>
    <s v="MITSUBA"/>
    <s v="App NG"/>
    <x v="48"/>
    <m/>
    <m/>
    <s v="H3A3403"/>
    <s v="006"/>
    <s v="1"/>
    <n v="1"/>
    <d v="2023-04-04T00:00:00"/>
    <d v="2023-04-11T00:00:00"/>
    <s v="Closed"/>
    <n v="0"/>
    <n v="1"/>
    <s v="Mr. Koko"/>
    <x v="61"/>
    <s v="PRODUCT DISCRAPE"/>
    <m/>
  </r>
  <r>
    <n v="39"/>
    <x v="10"/>
    <x v="1"/>
    <s v="sedang"/>
    <x v="13"/>
    <s v="2AIW"/>
    <x v="0"/>
    <n v="0.21"/>
    <s v="MITSUBA"/>
    <s v="App NG"/>
    <x v="2"/>
    <s v="- Ganti Felt Setelah Inline - Cek Pass Line - Ganti Dies"/>
    <m/>
    <s v="H3B3402"/>
    <s v="003.004.005"/>
    <s v="1"/>
    <n v="3"/>
    <d v="2023-04-03T00:00:00"/>
    <d v="2023-04-11T00:00:00"/>
    <s v="Closed"/>
    <n v="0"/>
    <n v="3"/>
    <s v="Mr. Koko"/>
    <x v="61"/>
    <s v="PRODUCT DISCRAPE"/>
    <m/>
  </r>
  <r>
    <n v="41"/>
    <x v="10"/>
    <x v="1"/>
    <s v="sedang"/>
    <x v="26"/>
    <s v="1UEW"/>
    <x v="1"/>
    <n v="0.4"/>
    <s v="YEID"/>
    <s v="Record HVCT Terbalik"/>
    <x v="49"/>
    <s v="Koneksi Ulang Kabel HVCT"/>
    <m/>
    <s v="H4B3412"/>
    <s v="001 S/D 009"/>
    <s v="1"/>
    <n v="9"/>
    <d v="2023-04-28T00:00:00"/>
    <d v="2023-04-28T00:00:00"/>
    <s v="Closed"/>
    <n v="9"/>
    <n v="0"/>
    <s v="Mr. Koko"/>
    <x v="61"/>
    <s v="SPECIAL PASS OK"/>
    <m/>
  </r>
  <r>
    <n v="42"/>
    <x v="10"/>
    <x v="1"/>
    <s v="sedang"/>
    <x v="27"/>
    <s v="1UEW"/>
    <x v="1"/>
    <n v="0.4"/>
    <s v="YEID"/>
    <s v="Record HVCT Terbalik"/>
    <x v="49"/>
    <s v="Koneksi Ulang Kabel HVCT"/>
    <m/>
    <s v="H4A3412"/>
    <s v="001 S/D 005"/>
    <s v="1"/>
    <n v="5"/>
    <d v="2023-04-28T00:00:00"/>
    <d v="2023-04-28T00:00:00"/>
    <s v="Closed"/>
    <n v="5"/>
    <n v="0"/>
    <s v="Mr. Koko"/>
    <x v="61"/>
    <s v="SPECIAL PASS OK"/>
    <m/>
  </r>
  <r>
    <m/>
    <x v="10"/>
    <x v="1"/>
    <s v="sedang"/>
    <x v="18"/>
    <s v="D2IDW4-B-2"/>
    <x v="0"/>
    <n v="0.26"/>
    <s v="SEI-ASMO"/>
    <s v="Barewire Scratch "/>
    <x v="19"/>
    <s v="- Change Dies Inline 1 Step - Dari WB ---&gt; WP"/>
    <m/>
    <s v="H1B3429"/>
    <s v="001"/>
    <s v="2 / 4"/>
    <n v="2"/>
    <d v="2023-04-30T00:00:00"/>
    <d v="2023-04-30T00:00:00"/>
    <s v="Closed"/>
    <n v="2"/>
    <n v="0"/>
    <s v="Mr. Koko"/>
    <x v="61"/>
    <s v="SPECIAL PASS OK"/>
    <m/>
  </r>
  <r>
    <m/>
    <x v="10"/>
    <x v="1"/>
    <s v="sedang"/>
    <x v="20"/>
    <s v="D2IDW4-B-2"/>
    <x v="0"/>
    <n v="0.26"/>
    <s v="SEI-ASMO"/>
    <s v="Barewire Scratch "/>
    <x v="19"/>
    <s v="- Rotary Dies Inline &amp; Cleaning Dies - Ganti FD - Setting Sheave Setelah Drive Capstand"/>
    <m/>
    <s v="H1A3430"/>
    <s v="001 "/>
    <s v="2 / 3 / 4"/>
    <n v="3"/>
    <d v="2023-04-30T00:00:00"/>
    <d v="2023-04-30T00:00:00"/>
    <s v="Closed"/>
    <n v="3"/>
    <n v="0"/>
    <s v="Mr. Koko"/>
    <x v="61"/>
    <s v="SPECIAL PASS OK"/>
    <m/>
  </r>
  <r>
    <n v="43"/>
    <x v="11"/>
    <x v="0"/>
    <s v="sedang"/>
    <x v="7"/>
    <s v="D2DSW2"/>
    <x v="1"/>
    <n v="0.5"/>
    <s v="HAMADEN"/>
    <s v="Varnish Kering"/>
    <x v="2"/>
    <s v="Nyalakan Switch"/>
    <m/>
    <s v="V4A3502"/>
    <s v="001"/>
    <s v="1 S/D 10"/>
    <n v="10"/>
    <d v="2023-05-03T00:00:00"/>
    <d v="2023-05-08T00:00:00"/>
    <s v="Closed"/>
    <n v="10"/>
    <n v="0"/>
    <s v="Mr. Koko"/>
    <x v="61"/>
    <s v="SPECIAL PASS OK"/>
    <m/>
  </r>
  <r>
    <n v="44"/>
    <x v="11"/>
    <x v="0"/>
    <s v="sedang"/>
    <x v="16"/>
    <s v="1HGZ-MA"/>
    <x v="0"/>
    <n v="1.5"/>
    <s v="LAMCOR"/>
    <s v="M-TAN Small (EI)"/>
    <x v="2"/>
    <m/>
    <m/>
    <s v="V6A3503"/>
    <s v="001 / 002"/>
    <s v="1 S/D 5 / 1 S/D 5"/>
    <n v="10"/>
    <d v="2023-05-04T00:00:00"/>
    <d v="2023-05-04T00:00:00"/>
    <s v="Closed"/>
    <n v="10"/>
    <n v="0"/>
    <s v="Mr. Koko"/>
    <x v="61"/>
    <s v="SPECIAL PASS OK"/>
    <m/>
  </r>
  <r>
    <n v="45"/>
    <x v="11"/>
    <x v="0"/>
    <s v="sedang"/>
    <x v="6"/>
    <s v="1AIW-S"/>
    <x v="1"/>
    <n v="0.7"/>
    <s v="PIDSG"/>
    <s v="Grade BW Beda"/>
    <x v="2"/>
    <s v="Ganti BW Supply "/>
    <m/>
    <s v="V8D3507"/>
    <s v="001 S/D 006"/>
    <s v="1 / 2"/>
    <n v="12"/>
    <d v="2023-05-08T00:00:00"/>
    <d v="2023-05-08T00:00:00"/>
    <s v="Closed"/>
    <n v="12"/>
    <n v="0"/>
    <s v="Mr. Koko"/>
    <x v="61"/>
    <s v="SPECIAL PASS OK"/>
    <m/>
  </r>
  <r>
    <n v="46"/>
    <x v="11"/>
    <x v="0"/>
    <s v="sedang"/>
    <x v="8"/>
    <s v="1FBWCC"/>
    <x v="0"/>
    <n v="1"/>
    <s v="YEID"/>
    <s v="Bonding Small"/>
    <x v="2"/>
    <s v="Temperature Cure + Catalyst Diturunkan 10°C"/>
    <m/>
    <s v="V9A3504"/>
    <s v="Start Up"/>
    <s v="1 S/D 8"/>
    <n v="8"/>
    <d v="2023-05-05T00:00:00"/>
    <d v="2023-05-10T00:00:00"/>
    <s v="Closed"/>
    <n v="8"/>
    <n v="0"/>
    <s v="Mr. Koko"/>
    <x v="61"/>
    <s v="SPECIAL PASS OK"/>
    <m/>
  </r>
  <r>
    <n v="47"/>
    <x v="11"/>
    <x v="0"/>
    <s v="sedang"/>
    <x v="1"/>
    <s v="D1-PEW-B-2Y"/>
    <x v="1"/>
    <n v="0.75"/>
    <s v="SEI-ASMO"/>
    <s v="Laser Micro Alarm"/>
    <x v="2"/>
    <s v="Fp"/>
    <m/>
    <s v="11B3511"/>
    <s v="002 / 003"/>
    <s v="2"/>
    <n v="2"/>
    <d v="2023-05-12T00:00:00"/>
    <d v="2023-05-12T00:00:00"/>
    <s v="Closed"/>
    <n v="2"/>
    <n v="0"/>
    <s v="Mr. Koko"/>
    <x v="61"/>
    <s v="SPECIAL PASS OK"/>
    <m/>
  </r>
  <r>
    <n v="48"/>
    <x v="11"/>
    <x v="0"/>
    <s v="sedang"/>
    <x v="1"/>
    <s v="2PEW"/>
    <x v="1"/>
    <n v="0.85"/>
    <s v="MELCO"/>
    <s v="Grade BW"/>
    <x v="2"/>
    <s v="Change BW Grade A --&gt; S"/>
    <m/>
    <s v="11B3501"/>
    <s v="001"/>
    <s v="1 S/D 5"/>
    <n v="5"/>
    <d v="2023-05-02T00:00:00"/>
    <d v="2023-05-16T00:00:00"/>
    <s v="Closed"/>
    <n v="5"/>
    <n v="0"/>
    <s v="Mr. Koko"/>
    <x v="61"/>
    <s v="SPECIAL PASS OK"/>
    <m/>
  </r>
  <r>
    <n v="49"/>
    <x v="11"/>
    <x v="0"/>
    <s v="sedang"/>
    <x v="4"/>
    <s v="2EIWAD-P"/>
    <x v="0"/>
    <n v="1.25"/>
    <s v="LAMCOR"/>
    <s v="CD Small"/>
    <x v="2"/>
    <m/>
    <m/>
    <s v="12B3518"/>
    <s v="Cust. Change"/>
    <s v="3"/>
    <n v="1"/>
    <d v="2023-05-19T00:00:00"/>
    <d v="2023-05-22T00:00:00"/>
    <s v="Closed"/>
    <n v="1"/>
    <n v="0"/>
    <s v="Mr. Koko"/>
    <x v="61"/>
    <s v="SPECIAL PASS OK"/>
    <m/>
  </r>
  <r>
    <n v="50"/>
    <x v="11"/>
    <x v="0"/>
    <s v="sedang"/>
    <x v="11"/>
    <s v="2EIWAD-O"/>
    <x v="0"/>
    <n v="1.81"/>
    <s v="MEAA-OH"/>
    <s v="OD Big"/>
    <x v="2"/>
    <m/>
    <m/>
    <s v="12A3519"/>
    <s v="001"/>
    <s v="5"/>
    <n v="1"/>
    <d v="2023-05-22T00:00:00"/>
    <d v="2023-05-22T00:00:00"/>
    <s v="Closed"/>
    <n v="1"/>
    <n v="0"/>
    <s v="Mr. Koko"/>
    <x v="61"/>
    <s v="SPECIAL PASS OK"/>
    <m/>
  </r>
  <r>
    <n v="51"/>
    <x v="11"/>
    <x v="0"/>
    <s v="sedang"/>
    <x v="4"/>
    <s v="2EIWAD-EPS"/>
    <x v="0"/>
    <n v="1.25"/>
    <s v="MELCO"/>
    <s v="CD Small"/>
    <x v="2"/>
    <m/>
    <m/>
    <s v="12B3517"/>
    <s v="005 / 006"/>
    <s v="3"/>
    <n v="2"/>
    <d v="2023-05-18T00:00:00"/>
    <d v="2023-05-22T00:00:00"/>
    <s v="Closed"/>
    <n v="2"/>
    <n v="0"/>
    <s v="Mr. Koko"/>
    <x v="61"/>
    <s v="SPECIAL PASS OK"/>
    <m/>
  </r>
  <r>
    <n v="52"/>
    <x v="11"/>
    <x v="0"/>
    <s v="sedang"/>
    <x v="23"/>
    <s v="D1-PEW-B-2T"/>
    <x v="0"/>
    <n v="0.56000000000000005"/>
    <s v="DMIA"/>
    <s v="Horiba Small"/>
    <x v="2"/>
    <s v="Fp"/>
    <m/>
    <s v="VOA3521"/>
    <s v="003"/>
    <s v="1 S/D 5"/>
    <n v="5"/>
    <d v="2023-05-22T00:00:00"/>
    <d v="2023-05-23T00:00:00"/>
    <s v="Closed"/>
    <n v="5"/>
    <n v="0"/>
    <s v="Mr. Koko"/>
    <x v="61"/>
    <s v="SPECIAL PASS OK"/>
    <m/>
  </r>
  <r>
    <n v="53"/>
    <x v="11"/>
    <x v="0"/>
    <s v="sedang"/>
    <x v="0"/>
    <s v="2PEW"/>
    <x v="0"/>
    <n v="0.8"/>
    <s v="MELCO"/>
    <s v="App Powder"/>
    <x v="2"/>
    <s v="Cleaning Felt Sebelum HVCT"/>
    <m/>
    <s v="11A3501"/>
    <s v="002"/>
    <s v="3"/>
    <n v="1"/>
    <d v="2023-05-02T00:00:00"/>
    <d v="2023-05-11T00:00:00"/>
    <s v="Closed"/>
    <n v="0"/>
    <n v="1"/>
    <s v="Mr. Koko"/>
    <x v="61"/>
    <s v="PRODUCT DISCRAPE"/>
    <m/>
  </r>
  <r>
    <n v="54"/>
    <x v="11"/>
    <x v="0"/>
    <s v="sedang"/>
    <x v="11"/>
    <s v="2EIWAD-O"/>
    <x v="0"/>
    <n v="1.81"/>
    <s v="MEAA-OH"/>
    <s v="M-TAN EI Small"/>
    <x v="2"/>
    <s v="Temperaure Upper Dinaikkan  5°C"/>
    <m/>
    <s v="12A3510"/>
    <s v="Start Up"/>
    <s v="1 S/D 5"/>
    <n v="5"/>
    <d v="2023-05-10T00:00:00"/>
    <d v="2023-05-11T00:00:00"/>
    <s v="Closed"/>
    <n v="5"/>
    <n v="0"/>
    <s v="Mr. Koko"/>
    <x v="61"/>
    <s v="SPECIAL PASS OK"/>
    <m/>
  </r>
  <r>
    <n v="1"/>
    <x v="11"/>
    <x v="0"/>
    <s v="sedang"/>
    <x v="17"/>
    <s v="D2IDW4-B-2"/>
    <x v="0"/>
    <n v="0.6"/>
    <s v="DMIA"/>
    <s v="Qty Horiba Big"/>
    <x v="2"/>
    <s v="Fp"/>
    <m/>
    <s v="V4B3510"/>
    <s v="002"/>
    <s v="1 S/D 10"/>
    <n v="10"/>
    <d v="2023-05-11T00:00:00"/>
    <d v="2023-05-11T00:00:00"/>
    <s v="Closed"/>
    <n v="10"/>
    <n v="0"/>
    <s v="Mr. Koko"/>
    <x v="61"/>
    <s v="SPECIAL PASS OK"/>
    <m/>
  </r>
  <r>
    <n v="2"/>
    <x v="11"/>
    <x v="0"/>
    <s v="sedang"/>
    <x v="23"/>
    <s v="D1-PEW-B-2T"/>
    <x v="0"/>
    <n v="0.5"/>
    <s v="DMIA"/>
    <s v="Qty Horiba Kecil"/>
    <x v="2"/>
    <s v="Roller SPB Oil W/S Up dari 3.3 ---&gt; 3.5"/>
    <m/>
    <s v="VOA3510"/>
    <s v="002"/>
    <s v="1 S/D 5"/>
    <n v="5"/>
    <d v="2023-05-11T00:00:00"/>
    <d v="2023-05-12T00:00:00"/>
    <s v="Closed"/>
    <n v="5"/>
    <n v="0"/>
    <s v="Mr. Koko"/>
    <x v="61"/>
    <s v="SPECIAL PASS OK"/>
    <m/>
  </r>
  <r>
    <n v="3"/>
    <x v="11"/>
    <x v="0"/>
    <s v="sedang"/>
    <x v="9"/>
    <s v="D2IDW-4-B-2"/>
    <x v="0"/>
    <n v="0.7"/>
    <s v="DMIA"/>
    <s v="M-TAN NG"/>
    <x v="2"/>
    <s v="Re Check T/U 003 Ok"/>
    <m/>
    <s v="VOB3518"/>
    <s v="Start Up"/>
    <s v="1 S/D 5"/>
    <n v="5"/>
    <d v="2023-05-18T00:00:00"/>
    <d v="2023-05-22T00:00:00"/>
    <s v="Closed"/>
    <n v="5"/>
    <n v="0"/>
    <s v="Mr. Koko"/>
    <x v="61"/>
    <s v="SPECIAL PASS OK"/>
    <m/>
  </r>
  <r>
    <n v="4"/>
    <x v="11"/>
    <x v="0"/>
    <s v="sedang"/>
    <x v="17"/>
    <s v="D2IDW-4-B-2"/>
    <x v="0"/>
    <n v="0.44"/>
    <s v="DMIA"/>
    <s v="Qty Horiba Small"/>
    <x v="2"/>
    <m/>
    <m/>
    <s v="V4B3517"/>
    <s v="001"/>
    <s v="1 S/D 10"/>
    <n v="10"/>
    <d v="2023-05-19T00:00:00"/>
    <d v="2023-05-22T00:00:00"/>
    <s v="Closed"/>
    <n v="10"/>
    <n v="0"/>
    <s v="Mr. Koko"/>
    <x v="61"/>
    <s v="SPECIAL PASS OK"/>
    <m/>
  </r>
  <r>
    <n v="5"/>
    <x v="11"/>
    <x v="0"/>
    <s v="sedang"/>
    <x v="11"/>
    <s v="2EIWAD-O"/>
    <x v="0"/>
    <n v="1.81"/>
    <s v="MEAA-OH"/>
    <s v="OD CD Hempei, SE Small"/>
    <x v="2"/>
    <m/>
    <m/>
    <s v="12A3518"/>
    <s v="002"/>
    <s v="5"/>
    <n v="1"/>
    <d v="2023-05-19T00:00:00"/>
    <d v="2023-05-23T00:00:00"/>
    <s v="Closed"/>
    <n v="1"/>
    <n v="0"/>
    <s v="Mr. Koko"/>
    <x v="61"/>
    <s v="SPECIAL PASS OK"/>
    <m/>
  </r>
  <r>
    <n v="6"/>
    <x v="11"/>
    <x v="0"/>
    <s v="sedang"/>
    <x v="2"/>
    <s v="2EIWAD-O"/>
    <x v="0"/>
    <n v="1.65"/>
    <s v="MEAA-OH"/>
    <s v="SE Small"/>
    <x v="50"/>
    <m/>
    <m/>
    <s v="V6B3512"/>
    <s v="001"/>
    <s v="6"/>
    <n v="1"/>
    <d v="2023-05-14T00:00:00"/>
    <d v="2023-05-23T00:00:00"/>
    <s v="Closed"/>
    <n v="1"/>
    <n v="0"/>
    <s v="Mr. Koko"/>
    <x v="61"/>
    <s v="SPECIAL PASS OK"/>
    <m/>
  </r>
  <r>
    <n v="7"/>
    <x v="11"/>
    <x v="0"/>
    <s v="sedang"/>
    <x v="23"/>
    <s v="D1-PEW-B-2T"/>
    <x v="1"/>
    <n v="0.5"/>
    <s v="DMIA"/>
    <s v="Wire Line NG"/>
    <x v="2"/>
    <s v="Wire Line Diperbaiki"/>
    <m/>
    <s v="VOA3510"/>
    <s v="003"/>
    <s v="3 &amp; 4"/>
    <n v="2"/>
    <d v="2023-05-11T00:00:00"/>
    <d v="2023-05-25T00:00:00"/>
    <s v="Closed"/>
    <n v="2"/>
    <n v="0"/>
    <s v="Mr. Koko"/>
    <x v="61"/>
    <s v="SPECIAL PASS OK"/>
    <m/>
  </r>
  <r>
    <n v="8"/>
    <x v="11"/>
    <x v="0"/>
    <s v="sedang"/>
    <x v="23"/>
    <s v="D2IDW-4-B-2"/>
    <x v="0"/>
    <n v="0.65"/>
    <s v="DMIA"/>
    <s v="Horiba Kecil"/>
    <x v="2"/>
    <s v="Fp"/>
    <m/>
    <s v="VOA3523"/>
    <s v="003 (Fp)"/>
    <s v="1 S/D 5"/>
    <n v="5"/>
    <d v="2023-05-25T00:00:00"/>
    <d v="2023-05-25T00:00:00"/>
    <s v="Closed"/>
    <n v="5"/>
    <n v="0"/>
    <s v="Mr. Koko"/>
    <x v="61"/>
    <s v="SPECIAL PASS OK"/>
    <m/>
  </r>
  <r>
    <n v="1"/>
    <x v="11"/>
    <x v="0"/>
    <s v="sedang"/>
    <x v="9"/>
    <s v="D2IDW-4-B-2"/>
    <x v="0"/>
    <n v="0.7"/>
    <s v="DMIA"/>
    <s v="DF Big"/>
    <x v="2"/>
    <s v="Temperature Upper Dinaikkan 5°C"/>
    <m/>
    <s v="VOB3523"/>
    <s v="004 / 005"/>
    <s v="1 S/D 5"/>
    <n v="10"/>
    <d v="2023-05-24T00:00:00"/>
    <d v="2023-05-25T00:00:00"/>
    <s v="Closed"/>
    <n v="10"/>
    <n v="0"/>
    <s v="Mr. Koko"/>
    <x v="61"/>
    <s v="SPECIAL PASS OK"/>
    <m/>
  </r>
  <r>
    <n v="2"/>
    <x v="11"/>
    <x v="0"/>
    <s v="sedang"/>
    <x v="1"/>
    <s v="D1-PEW-B-2Y"/>
    <x v="1"/>
    <n v="0.75"/>
    <s v="SEI-ASMO"/>
    <s v="CCD Laser Micro Alarm"/>
    <x v="2"/>
    <s v="Cek Pass Line"/>
    <m/>
    <s v="11B3510"/>
    <s v="003"/>
    <s v="4"/>
    <n v="1"/>
    <d v="2023-05-10T00:00:00"/>
    <d v="2023-05-25T00:00:00"/>
    <s v="Closed"/>
    <n v="1"/>
    <n v="0"/>
    <s v="Mr. Koko"/>
    <x v="61"/>
    <s v="SPECIAL PASS OK"/>
    <m/>
  </r>
  <r>
    <n v="3"/>
    <x v="11"/>
    <x v="0"/>
    <s v="sedang"/>
    <x v="6"/>
    <s v="D2IDW4A-1"/>
    <x v="1"/>
    <n v="0.57999999999999996"/>
    <s v="TACI"/>
    <s v="Type Varnish Tidak Sesuai"/>
    <x v="2"/>
    <s v="Change Varnish dari AB3-35TI (KAI) ke AB3-35TI"/>
    <m/>
    <s v="V8D3519"/>
    <s v="001"/>
    <s v="1 S/D 4"/>
    <n v="4"/>
    <d v="2023-05-22T00:00:00"/>
    <d v="2023-05-24T00:00:00"/>
    <s v="Closed"/>
    <n v="4"/>
    <n v="0"/>
    <s v="Mr. Koko"/>
    <x v="61"/>
    <s v="SPECIAL PASS OK"/>
    <m/>
  </r>
  <r>
    <n v="4"/>
    <x v="11"/>
    <x v="0"/>
    <s v="sedang"/>
    <x v="15"/>
    <s v="2AIW"/>
    <x v="1"/>
    <n v="0.37"/>
    <s v="MAPI"/>
    <s v="Type Varnish Tidak Sesuai"/>
    <x v="2"/>
    <s v="Change Varnish dari AB3-35TI (KAI) ke AB3-35TI"/>
    <m/>
    <s v="V8B3519 / 20 / 21 / 22"/>
    <s v="003 S/D 005 / 001 S/D 004 / 001 S/D 004 / 001"/>
    <m/>
    <m/>
    <d v="2023-05-24T00:00:00"/>
    <d v="2023-05-24T00:00:00"/>
    <s v="Closed"/>
    <m/>
    <n v="0"/>
    <s v="Mr. Koko"/>
    <x v="61"/>
    <s v="SPECIAL PASS OK"/>
    <m/>
  </r>
  <r>
    <n v="5"/>
    <x v="11"/>
    <x v="0"/>
    <s v="sedang"/>
    <x v="5"/>
    <s v="D2IDW4A-1"/>
    <x v="1"/>
    <n v="0.55400000000000005"/>
    <s v="TACI"/>
    <s v="Type Varnish Tidak Sesuai"/>
    <x v="2"/>
    <s v="Change Varnish dari AB3-35TI (KAI) ke AB3-35TI"/>
    <m/>
    <s v="V8C3519"/>
    <s v="001"/>
    <s v="1 S/D 3"/>
    <n v="3"/>
    <d v="2023-05-22T00:00:00"/>
    <d v="2023-05-24T00:00:00"/>
    <s v="Closed"/>
    <n v="3"/>
    <n v="0"/>
    <s v="Mr. Koko"/>
    <x v="61"/>
    <s v="SPECIAL PASS OK"/>
    <m/>
  </r>
  <r>
    <n v="6"/>
    <x v="11"/>
    <x v="0"/>
    <s v="sedang"/>
    <x v="5"/>
    <s v="D2IDW4A-1"/>
    <x v="1"/>
    <n v="0.55000000000000004"/>
    <s v="TACI"/>
    <s v="Type Varnish Tidak Sesuai"/>
    <x v="2"/>
    <s v="Change Varnish dari AB3-35TI (KAI) ke AB3-35TI"/>
    <m/>
    <s v="V8C3520 / 21 / 22 "/>
    <s v="001 S/D 008 / 001 S/D 010 / 001 S/D 003"/>
    <s v="1 S/D 3"/>
    <n v="63"/>
    <d v="2023-05-22T00:00:00"/>
    <d v="2023-05-24T00:00:00"/>
    <s v="Closed"/>
    <n v="63"/>
    <n v="0"/>
    <s v="Mr. Koko"/>
    <x v="61"/>
    <s v="SPECIAL PASS OK"/>
    <m/>
  </r>
  <r>
    <n v="7"/>
    <x v="11"/>
    <x v="0"/>
    <s v="sedang"/>
    <x v="6"/>
    <s v="D2IDW4A-1"/>
    <x v="1"/>
    <n v="0.63"/>
    <s v="TACI"/>
    <s v="Type Varnish Tidak Sesuai"/>
    <x v="2"/>
    <s v="Change Varnish dari AB3-35TI (KAI) ke AB3-35TI"/>
    <m/>
    <s v="V8D3520 / 21 / 22"/>
    <s v="001 S/D 008 / 001 S/D 010 / 001 S/D 003"/>
    <s v="1 S/D 4"/>
    <n v="84"/>
    <d v="2023-05-22T00:00:00"/>
    <d v="2023-05-24T00:00:00"/>
    <s v="Closed"/>
    <n v="84"/>
    <n v="0"/>
    <s v="Mr. Koko"/>
    <x v="61"/>
    <s v="SPECIAL PASS OK"/>
    <m/>
  </r>
  <r>
    <n v="8"/>
    <x v="11"/>
    <x v="0"/>
    <s v="sedang"/>
    <x v="11"/>
    <s v="2EIWAD-O"/>
    <x v="0"/>
    <n v="1.81"/>
    <s v="MEAA-OH"/>
    <s v="OD Big"/>
    <x v="2"/>
    <m/>
    <m/>
    <s v="12A3519"/>
    <s v="001"/>
    <s v="5"/>
    <n v="1"/>
    <d v="2023-05-22T00:00:00"/>
    <d v="2023-05-22T00:00:00"/>
    <s v="Closed"/>
    <n v="1"/>
    <n v="0"/>
    <s v="Mr. Koko"/>
    <x v="61"/>
    <s v="SPECIAL PASS OK"/>
    <m/>
  </r>
  <r>
    <n v="9"/>
    <x v="11"/>
    <x v="0"/>
    <s v="sedang"/>
    <x v="0"/>
    <s v="2PEW"/>
    <x v="0"/>
    <n v="0.8"/>
    <s v="MELCO"/>
    <s v="Powder"/>
    <x v="2"/>
    <s v="Cleaning Sebelum HVCT"/>
    <m/>
    <s v="11A3503"/>
    <s v="004"/>
    <s v="3"/>
    <n v="1"/>
    <d v="2023-05-04T00:00:00"/>
    <d v="2023-05-11T00:00:00"/>
    <s v="Closed"/>
    <n v="0"/>
    <n v="1"/>
    <s v="Mr. Koko"/>
    <x v="61"/>
    <s v="PRODUCT DISCRAPE"/>
    <m/>
  </r>
  <r>
    <n v="10"/>
    <x v="11"/>
    <x v="0"/>
    <s v="sedang"/>
    <x v="1"/>
    <s v="2PEW"/>
    <x v="0"/>
    <n v="0.85"/>
    <s v="MELCO"/>
    <s v="Powder"/>
    <x v="2"/>
    <s v="Cleaning Felt Sebelum HVCT + Repair Roll Coater By MTN"/>
    <m/>
    <s v="11B3504"/>
    <s v="003"/>
    <s v="2.4"/>
    <n v="2"/>
    <d v="2023-05-05T00:00:00"/>
    <d v="2023-05-11T00:00:00"/>
    <s v="Closed"/>
    <n v="0"/>
    <n v="2"/>
    <s v="Mr. Koko"/>
    <x v="61"/>
    <s v="PRODUCT DISCRAPE"/>
    <m/>
  </r>
  <r>
    <n v="12"/>
    <x v="11"/>
    <x v="0"/>
    <s v="sedang"/>
    <x v="4"/>
    <s v="2EIWAD-EPS"/>
    <x v="0"/>
    <n v="1.25"/>
    <s v="MELCO"/>
    <s v="CD Small"/>
    <x v="2"/>
    <m/>
    <m/>
    <s v="12B3517"/>
    <s v="005 &amp; 006"/>
    <s v="3"/>
    <n v="2"/>
    <d v="2023-05-22T00:00:00"/>
    <d v="2023-05-22T00:00:00"/>
    <s v="Closed"/>
    <n v="2"/>
    <n v="0"/>
    <s v="Mr. Koko"/>
    <x v="61"/>
    <s v="SPECIAL PASS OK"/>
    <m/>
  </r>
  <r>
    <n v="13"/>
    <x v="11"/>
    <x v="0"/>
    <s v="sedang"/>
    <x v="17"/>
    <s v="D2IDW-4-B-2"/>
    <x v="0"/>
    <n v="0.44"/>
    <s v="DMIA"/>
    <s v="Qty Horiba Small"/>
    <x v="2"/>
    <m/>
    <m/>
    <s v="V4B3517"/>
    <s v="001"/>
    <s v="1 S/D 10"/>
    <n v="10"/>
    <d v="2023-05-19T00:00:00"/>
    <d v="2023-05-22T00:00:00"/>
    <s v="Closed"/>
    <n v="10"/>
    <n v="0"/>
    <s v="Mr. Koko"/>
    <x v="61"/>
    <s v="SPECIAL PASS OK"/>
    <m/>
  </r>
  <r>
    <n v="14"/>
    <x v="11"/>
    <x v="0"/>
    <s v="sedang"/>
    <x v="15"/>
    <s v="2EIWAD"/>
    <x v="1"/>
    <n v="0.8"/>
    <s v="YEID"/>
    <s v="No Coating, Over Coating"/>
    <x v="51"/>
    <s v="Buka Tutup Valve"/>
    <m/>
    <s v="V8B3513"/>
    <s v="003"/>
    <s v="1 S/D 3"/>
    <n v="3"/>
    <d v="2023-05-13T00:00:00"/>
    <d v="2023-05-17T00:00:00"/>
    <s v="Closed"/>
    <n v="3"/>
    <n v="0"/>
    <s v="Mr. Koko"/>
    <x v="61"/>
    <s v="SPECIAL PASS OK"/>
    <m/>
  </r>
  <r>
    <n v="15"/>
    <x v="11"/>
    <x v="0"/>
    <s v="sedang"/>
    <x v="3"/>
    <s v="D1IDW-4-B-1"/>
    <x v="1"/>
    <n v="1.8"/>
    <s v="DENSO FAJAR "/>
    <s v="No Coating Di Offer Coat"/>
    <x v="52"/>
    <s v="Buka Tutup Valve"/>
    <m/>
    <s v="V8A3513"/>
    <s v="005"/>
    <s v="1"/>
    <n v="3"/>
    <d v="2023-05-13T00:00:00"/>
    <d v="2023-05-17T00:00:00"/>
    <s v="Closed"/>
    <n v="3"/>
    <n v="0"/>
    <s v="Mr. Koko"/>
    <x v="61"/>
    <s v="SPECIAL PASS OK"/>
    <m/>
  </r>
  <r>
    <m/>
    <x v="11"/>
    <x v="0"/>
    <s v="sedang"/>
    <x v="9"/>
    <s v="D2IDW-4-B-2"/>
    <x v="0"/>
    <n v="0.7"/>
    <s v="DMIA"/>
    <s v="Horiba Kecil"/>
    <x v="2"/>
    <s v="Fp"/>
    <m/>
    <s v="VOB3524"/>
    <s v="003"/>
    <s v="1 S/D 5"/>
    <n v="5"/>
    <d v="2023-05-25T00:00:00"/>
    <d v="2023-05-26T00:00:00"/>
    <s v="Closed"/>
    <n v="5"/>
    <n v="0"/>
    <s v="Mr. Koko"/>
    <x v="61"/>
    <s v="SPECIAL PASS OK"/>
    <m/>
  </r>
  <r>
    <m/>
    <x v="11"/>
    <x v="0"/>
    <s v="sedang"/>
    <x v="10"/>
    <s v="D1-PEW-B-2Y"/>
    <x v="0"/>
    <n v="0.85"/>
    <s v="WIN-A (DMNC-S)"/>
    <s v="Qty Horiba Kecil"/>
    <x v="2"/>
    <s v="Fp"/>
    <m/>
    <s v="V9B3524"/>
    <s v="001"/>
    <s v="1 S/D 10"/>
    <n v="10"/>
    <d v="2023-05-02T00:00:00"/>
    <d v="2023-05-26T00:00:00"/>
    <s v="Closed"/>
    <n v="10"/>
    <n v="0"/>
    <s v="Mr. Koko"/>
    <x v="61"/>
    <s v="SPECIAL PASS OK"/>
    <m/>
  </r>
  <r>
    <m/>
    <x v="11"/>
    <x v="0"/>
    <s v="sedang"/>
    <x v="7"/>
    <s v="D2DSW2"/>
    <x v="0"/>
    <n v="0.5"/>
    <s v="HAMADEN"/>
    <s v="Gulungan Silang"/>
    <x v="2"/>
    <m/>
    <m/>
    <s v="V4A3506"/>
    <s v="002"/>
    <s v="7"/>
    <n v="1"/>
    <d v="2023-05-07T00:00:00"/>
    <d v="2023-05-08T00:00:00"/>
    <s v="Closed"/>
    <n v="1"/>
    <n v="0"/>
    <s v="Mr. Koko"/>
    <x v="61"/>
    <s v="SPECIAL PASS OK"/>
    <m/>
  </r>
  <r>
    <m/>
    <x v="11"/>
    <x v="0"/>
    <s v="sedang"/>
    <x v="11"/>
    <s v="2EIWAD-O"/>
    <x v="1"/>
    <n v="1.65"/>
    <s v="MEAA-OH"/>
    <s v="Ada Bunyi di T/U "/>
    <x v="53"/>
    <s v="Check By MTN"/>
    <m/>
    <s v="12A3504"/>
    <s v="002"/>
    <s v="1.4"/>
    <n v="2"/>
    <d v="2023-05-04T00:00:00"/>
    <d v="2023-05-09T00:00:00"/>
    <s v="Closed"/>
    <n v="2"/>
    <n v="0"/>
    <s v="Mr. Koko"/>
    <x v="61"/>
    <s v="SPECIAL PASS OK"/>
    <m/>
  </r>
  <r>
    <n v="17"/>
    <x v="11"/>
    <x v="1"/>
    <s v="sedang"/>
    <x v="20"/>
    <s v="D2IDW4-B-2"/>
    <x v="1"/>
    <n v="0.26"/>
    <s v="SEI-ASMO"/>
    <s v="Out Sheave"/>
    <x v="54"/>
    <m/>
    <m/>
    <s v="H1A3502"/>
    <s v="001"/>
    <s v="1"/>
    <n v="1"/>
    <d v="2023-05-02T00:00:00"/>
    <d v="2023-05-15T00:00:00"/>
    <s v="Closed"/>
    <n v="1"/>
    <n v="0"/>
    <s v="Mr. Koko"/>
    <x v="61"/>
    <s v="SPECIAL PASS OK"/>
    <m/>
  </r>
  <r>
    <n v="19"/>
    <x v="11"/>
    <x v="1"/>
    <s v="sedang"/>
    <x v="22"/>
    <s v="D2IDW4-B-2"/>
    <x v="0"/>
    <n v="0.26"/>
    <s v="SEI-ASMO"/>
    <s v="OD Big"/>
    <x v="2"/>
    <s v="Setting Tension"/>
    <m/>
    <s v="H2B3524"/>
    <s v="002"/>
    <s v="2"/>
    <n v="1"/>
    <d v="2023-05-25T00:00:00"/>
    <d v="2023-05-25T00:00:00"/>
    <s v="Closed"/>
    <n v="1"/>
    <n v="0"/>
    <s v="Mr. Koko"/>
    <x v="61"/>
    <s v="SPECIAL PASS OK"/>
    <m/>
  </r>
  <r>
    <n v="20"/>
    <x v="11"/>
    <x v="1"/>
    <s v="sedang"/>
    <x v="14"/>
    <s v="D2-IDW-2-2"/>
    <x v="0"/>
    <n v="0.31"/>
    <s v="DMIA"/>
    <s v="ECC Big"/>
    <x v="2"/>
    <m/>
    <m/>
    <s v="H2A3527"/>
    <s v="001"/>
    <s v="2"/>
    <n v="1"/>
    <d v="2023-05-28T00:00:00"/>
    <d v="1930-02-01T00:00:00"/>
    <s v="Closed"/>
    <n v="1"/>
    <n v="0"/>
    <s v="Mr. Koko"/>
    <x v="61"/>
    <s v="SPECIAL PASS OK"/>
    <m/>
  </r>
  <r>
    <n v="21"/>
    <x v="11"/>
    <x v="1"/>
    <s v="sedang"/>
    <x v="12"/>
    <s v="D2IDW4-B-2"/>
    <x v="0"/>
    <n v="0.31"/>
    <s v="DMIA"/>
    <s v="Reel Dakon"/>
    <x v="55"/>
    <m/>
    <m/>
    <s v="H3A/B 3515"/>
    <s v="002 / 001 / 001"/>
    <s v="1 / 1 / 1"/>
    <n v="3"/>
    <d v="2023-05-16T00:00:00"/>
    <d v="2023-05-22T00:00:00"/>
    <s v="Closed"/>
    <n v="3"/>
    <n v="0"/>
    <s v="Mr. Koko"/>
    <x v="61"/>
    <s v="SPECIAL PASS OK"/>
    <m/>
  </r>
  <r>
    <n v="22"/>
    <x v="11"/>
    <x v="1"/>
    <s v="sedang"/>
    <x v="27"/>
    <s v="1UEW"/>
    <x v="1"/>
    <n v="0.4"/>
    <s v="YEID"/>
    <s v="Dancer Sheave Inline NG"/>
    <x v="2"/>
    <s v="Masih Dalam Penanganan MCH"/>
    <m/>
    <s v="H4A3515"/>
    <s v="001 S/D 009"/>
    <s v="1"/>
    <n v="9"/>
    <d v="2023-05-15T00:00:00"/>
    <d v="2023-05-22T00:00:00"/>
    <s v="Closed"/>
    <n v="9"/>
    <n v="0"/>
    <s v="Mr. Koko"/>
    <x v="61"/>
    <s v="SPECIAL PASS OK"/>
    <m/>
  </r>
  <r>
    <n v="23"/>
    <x v="11"/>
    <x v="1"/>
    <s v="sedang"/>
    <x v="18"/>
    <s v="D2IDW4-B-2"/>
    <x v="1"/>
    <n v="0.26"/>
    <s v="SEI-ASMO"/>
    <s v="Blower Dryer Anneal 2 Mati"/>
    <x v="56"/>
    <s v="Cek Panel Blower Off, Re Set Tombol"/>
    <m/>
    <s v="H1B3520"/>
    <s v="001"/>
    <s v="3 / 5"/>
    <n v="2"/>
    <d v="2023-05-22T00:00:00"/>
    <d v="2023-05-30T00:00:00"/>
    <s v="Closed"/>
    <n v="2"/>
    <n v="0"/>
    <s v="Mr. Koko"/>
    <x v="61"/>
    <s v="SPECIAL PASS OK"/>
    <m/>
  </r>
  <r>
    <n v="24"/>
    <x v="11"/>
    <x v="1"/>
    <s v="sedang"/>
    <x v="20"/>
    <s v="D2IDW4-B-2"/>
    <x v="1"/>
    <n v="0.26"/>
    <s v="SEI-ASMO"/>
    <s v="Blower Dryer Anneal 2 Mati"/>
    <x v="56"/>
    <s v="Cek Panel Blower Off, Re Set Tombol"/>
    <m/>
    <s v="H1A3520"/>
    <s v="001"/>
    <s v="3 / 2 / 5"/>
    <n v="3"/>
    <d v="2023-05-22T00:00:00"/>
    <d v="2023-05-30T00:00:00"/>
    <s v="Closed"/>
    <n v="3"/>
    <n v="0"/>
    <s v="Mr. Koko"/>
    <x v="61"/>
    <s v="SPECIAL PASS OK"/>
    <m/>
  </r>
  <r>
    <m/>
    <x v="11"/>
    <x v="1"/>
    <s v="sedang"/>
    <x v="27"/>
    <s v="1UEW"/>
    <x v="1"/>
    <n v="0.4"/>
    <s v="YEID"/>
    <s v="Dancer Inline Tidak Stabil"/>
    <x v="57"/>
    <m/>
    <m/>
    <s v="H4A3515 / 16 / 19 / 20 / 13"/>
    <s v="All"/>
    <s v="1"/>
    <n v="57"/>
    <d v="2023-06-16T00:00:00"/>
    <d v="2023-07-11T00:00:00"/>
    <s v="Closed"/>
    <n v="57"/>
    <n v="0"/>
    <s v="Mr. Koko"/>
    <x v="61"/>
    <s v="SPECIAL PASS OK"/>
    <m/>
  </r>
  <r>
    <m/>
    <x v="11"/>
    <x v="1"/>
    <s v="sedang"/>
    <x v="27"/>
    <s v="1UEW"/>
    <x v="1"/>
    <n v="0.4"/>
    <s v="YEID"/>
    <s v="Dancer Tension Not Stabil"/>
    <x v="58"/>
    <m/>
    <m/>
    <s v="H4A3519 / 21 / 23 / 24 / 25"/>
    <s v="All"/>
    <s v="2"/>
    <n v="43"/>
    <d v="2023-06-30T00:00:00"/>
    <d v="2023-07-24T00:00:00"/>
    <s v="Closed"/>
    <n v="43"/>
    <n v="0"/>
    <s v="Mr. Koko"/>
    <x v="61"/>
    <s v="SPECIAL PASS OK"/>
    <m/>
  </r>
  <r>
    <n v="25"/>
    <x v="12"/>
    <x v="0"/>
    <s v="sedang"/>
    <x v="8"/>
    <s v="D1PEW-B-2Y"/>
    <x v="1"/>
    <n v="0.9"/>
    <s v="DMIA"/>
    <s v="Temperature Anneal 1 Eror"/>
    <x v="2"/>
    <s v="Perbaikan MTN"/>
    <m/>
    <s v="V9A3627"/>
    <s v="004"/>
    <s v="1 S/D 9"/>
    <n v="9"/>
    <d v="2023-06-28T00:00:00"/>
    <d v="2023-07-05T00:00:00"/>
    <s v="Closed"/>
    <n v="9"/>
    <n v="0"/>
    <s v="Mr. Koko"/>
    <x v="61"/>
    <s v="SPECIAL PASS OK"/>
    <m/>
  </r>
  <r>
    <n v="26"/>
    <x v="12"/>
    <x v="0"/>
    <s v="sedang"/>
    <x v="2"/>
    <s v="2EIWAD-O"/>
    <x v="0"/>
    <n v="1.65"/>
    <s v="MEAA-OH"/>
    <s v="CD Big"/>
    <x v="2"/>
    <s v="Adjust Tension Winding (FP)"/>
    <m/>
    <s v="V6B3619"/>
    <s v="002"/>
    <s v="1"/>
    <n v="1"/>
    <d v="2023-06-20T00:00:00"/>
    <d v="2023-06-23T00:00:00"/>
    <s v="Closed"/>
    <n v="1"/>
    <n v="0"/>
    <s v="Mr. Koko"/>
    <x v="61"/>
    <s v="SPECIAL PASS OK"/>
    <m/>
  </r>
  <r>
    <n v="27"/>
    <x v="12"/>
    <x v="0"/>
    <s v="sedang"/>
    <x v="2"/>
    <s v="2EIWAD-O"/>
    <x v="0"/>
    <n v="1.65"/>
    <s v="MEAA-OH"/>
    <s v="CD Big"/>
    <x v="59"/>
    <s v="Adjust Tension Winding "/>
    <m/>
    <s v="V6B3619"/>
    <s v="001"/>
    <s v="1.3"/>
    <n v="2"/>
    <d v="2023-06-20T00:00:00"/>
    <d v="2023-06-23T00:00:00"/>
    <s v="Closed"/>
    <n v="2"/>
    <n v="0"/>
    <s v="Mr. Koko"/>
    <x v="61"/>
    <s v="SPECIAL PASS OK"/>
    <m/>
  </r>
  <r>
    <n v="28"/>
    <x v="12"/>
    <x v="0"/>
    <s v="sedang"/>
    <x v="2"/>
    <s v="2EIWAD-O"/>
    <x v="1"/>
    <n v="1.65"/>
    <s v="MEAA-OH"/>
    <s v="Dip Voltage"/>
    <x v="2"/>
    <m/>
    <m/>
    <s v="V6B3617"/>
    <s v="001"/>
    <s v="1 S/D 6"/>
    <n v="6"/>
    <d v="2023-06-18T00:00:00"/>
    <d v="2023-06-23T00:00:00"/>
    <s v="Closed"/>
    <n v="6"/>
    <n v="0"/>
    <s v="Mr. Koko"/>
    <x v="61"/>
    <s v="SPECIAL PASS OK"/>
    <m/>
  </r>
  <r>
    <n v="29"/>
    <x v="12"/>
    <x v="0"/>
    <s v="sedang"/>
    <x v="8"/>
    <s v="D1PEW-B-2Y"/>
    <x v="0"/>
    <n v="0.9"/>
    <s v="DMIA"/>
    <s v="CD Kecil"/>
    <x v="2"/>
    <s v="Adjust Tension "/>
    <m/>
    <s v="V9A3621"/>
    <s v="002 / 003"/>
    <s v="5"/>
    <n v="2"/>
    <d v="2023-06-22T00:00:00"/>
    <d v="2023-06-26T00:00:00"/>
    <s v="Closed"/>
    <n v="2"/>
    <n v="0"/>
    <s v="Mr. Koko"/>
    <x v="61"/>
    <s v="SPECIAL PASS OK"/>
    <m/>
  </r>
  <r>
    <n v="30"/>
    <x v="12"/>
    <x v="0"/>
    <s v="sedang"/>
    <x v="8"/>
    <s v="D1PEW-B-2Y"/>
    <x v="0"/>
    <n v="0.9"/>
    <s v="DMIA"/>
    <s v="CD Kecil"/>
    <x v="60"/>
    <s v="- Adjust Tension Winding - Adjust Tension Spring Kain Neru"/>
    <m/>
    <s v="V9A3622"/>
    <s v="001 / 002"/>
    <s v="5"/>
    <n v="2"/>
    <d v="2023-06-22T00:00:00"/>
    <d v="2023-06-26T00:00:00"/>
    <s v="Closed"/>
    <n v="2"/>
    <n v="0"/>
    <s v="Mr. Koko"/>
    <x v="61"/>
    <s v="SPECIAL PASS OK"/>
    <m/>
  </r>
  <r>
    <n v="31"/>
    <x v="12"/>
    <x v="0"/>
    <s v="sedang"/>
    <x v="2"/>
    <s v="2EIWAD-O"/>
    <x v="0"/>
    <n v="1.65"/>
    <s v="MEAA-OH"/>
    <s v="Thickness Small"/>
    <x v="2"/>
    <s v="Cn 1 Tunggu Berat Minim"/>
    <m/>
    <s v="V6B3618"/>
    <s v="001"/>
    <s v="1.2"/>
    <n v="2"/>
    <d v="2023-06-20T00:00:00"/>
    <d v="2023-06-20T00:00:00"/>
    <s v="Closed"/>
    <n v="2"/>
    <n v="0"/>
    <s v="Mr. Koko"/>
    <x v="61"/>
    <s v="SPECIAL PASS OK"/>
    <m/>
  </r>
  <r>
    <n v="32"/>
    <x v="12"/>
    <x v="0"/>
    <s v="sedang"/>
    <x v="16"/>
    <s v="1HGZ-MA"/>
    <x v="1"/>
    <n v="1.18"/>
    <s v="LAMCOR"/>
    <s v="Electric Dip Voltage"/>
    <x v="2"/>
    <m/>
    <m/>
    <s v="V6A3617"/>
    <s v="004"/>
    <s v="1 S/D 5"/>
    <n v="5"/>
    <d v="2023-06-17T00:00:00"/>
    <d v="2023-06-21T00:00:00"/>
    <s v="Closed"/>
    <n v="5"/>
    <n v="0"/>
    <s v="Mr. Koko"/>
    <x v="61"/>
    <s v="SPECIAL PASS OK"/>
    <m/>
  </r>
  <r>
    <n v="33"/>
    <x v="12"/>
    <x v="0"/>
    <s v="sedang"/>
    <x v="2"/>
    <s v="0FBWSHC"/>
    <x v="1"/>
    <n v="1.2"/>
    <s v="MITSUBA"/>
    <s v="Dip Voltage"/>
    <x v="2"/>
    <s v="Re Start Up"/>
    <m/>
    <s v="V6B3617"/>
    <s v="003"/>
    <s v="1 S/D 7"/>
    <n v="7"/>
    <d v="2023-06-19T00:00:00"/>
    <d v="2023-06-21T00:00:00"/>
    <s v="Closed"/>
    <n v="7"/>
    <n v="0"/>
    <s v="Mr. Koko"/>
    <x v="61"/>
    <s v="SPECIAL PASS OK"/>
    <m/>
  </r>
  <r>
    <n v="34"/>
    <x v="12"/>
    <x v="0"/>
    <s v="sedang"/>
    <x v="2"/>
    <s v="2EIWAD-O"/>
    <x v="0"/>
    <n v="1.65"/>
    <s v="MEAA-OH"/>
    <m/>
    <x v="2"/>
    <s v="Adjust Capstand"/>
    <m/>
    <s v="V6B3616"/>
    <s v="001"/>
    <s v="1"/>
    <n v="1"/>
    <d v="2023-06-19T00:00:00"/>
    <d v="2023-06-20T00:00:00"/>
    <s v="Closed"/>
    <n v="1"/>
    <n v="0"/>
    <s v="Mr. Koko"/>
    <x v="61"/>
    <s v="SPECIAL PASS OK"/>
    <m/>
  </r>
  <r>
    <n v="35"/>
    <x v="12"/>
    <x v="0"/>
    <s v="sedang"/>
    <x v="10"/>
    <s v="0FBWSHC"/>
    <x v="0"/>
    <n v="1.2"/>
    <s v="MITSUBA"/>
    <s v="CD Big"/>
    <x v="2"/>
    <s v="Adjust Slidak"/>
    <m/>
    <s v="V9B3617"/>
    <s v="002"/>
    <s v="4"/>
    <n v="1"/>
    <d v="2023-06-18T00:00:00"/>
    <d v="2023-06-20T00:00:00"/>
    <s v="Closed"/>
    <n v="1"/>
    <n v="0"/>
    <s v="Mr. Koko"/>
    <x v="61"/>
    <s v="SPECIAL PASS OK"/>
    <m/>
  </r>
  <r>
    <n v="36"/>
    <x v="12"/>
    <x v="0"/>
    <s v="sedang"/>
    <x v="11"/>
    <s v="2EIWAD-O"/>
    <x v="1"/>
    <n v="1.81"/>
    <s v="MEAA-OH"/>
    <s v="Capstand Speed CP Fluktuasi"/>
    <x v="2"/>
    <s v="Repair T/U Capstand By MTN"/>
    <m/>
    <s v="12A3613"/>
    <s v="001"/>
    <s v="All"/>
    <n v="5"/>
    <d v="2023-06-13T00:00:00"/>
    <d v="2023-06-16T00:00:00"/>
    <s v="Closed"/>
    <n v="5"/>
    <n v="0"/>
    <s v="Mr. Koko"/>
    <x v="61"/>
    <s v="SPECIAL PASS OK"/>
    <m/>
  </r>
  <r>
    <n v="37"/>
    <x v="12"/>
    <x v="0"/>
    <s v="sedang"/>
    <x v="8"/>
    <s v="0FBWCC"/>
    <x v="0"/>
    <n v="1.1000000000000001"/>
    <s v="YEID"/>
    <s v="Michaku"/>
    <x v="2"/>
    <s v="Fp"/>
    <m/>
    <s v="V9A3613"/>
    <s v="001 / 002"/>
    <s v="1 S/D 5"/>
    <n v="10"/>
    <d v="2023-06-13T00:00:00"/>
    <d v="2023-06-20T00:00:00"/>
    <s v="Closed"/>
    <n v="0"/>
    <n v="10"/>
    <s v="Mr. Koko"/>
    <x v="61"/>
    <s v="PRODUCT DISCRAPE"/>
    <m/>
  </r>
  <r>
    <n v="38"/>
    <x v="12"/>
    <x v="0"/>
    <s v="sedang"/>
    <x v="11"/>
    <s v="2EIWAD-O"/>
    <x v="1"/>
    <n v="1.81"/>
    <s v="MEAA-OH"/>
    <s v="Inner Pack Penyok"/>
    <x v="2"/>
    <m/>
    <m/>
    <s v="12A3609 / 12A3610"/>
    <s v="001 / 001"/>
    <s v="1.2.4 / 1"/>
    <n v="4"/>
    <d v="2023-06-14T00:00:00"/>
    <d v="2023-06-20T00:00:00"/>
    <s v="Closed"/>
    <n v="0"/>
    <n v="4"/>
    <s v="Mr. Koko"/>
    <x v="61"/>
    <s v="PRODUCT DISCRAPE"/>
    <m/>
  </r>
  <r>
    <n v="39"/>
    <x v="12"/>
    <x v="0"/>
    <s v="sedang"/>
    <x v="8"/>
    <s v="D1PEW-B-2Y"/>
    <x v="0"/>
    <n v="0.9"/>
    <s v="DMIA"/>
    <s v="Horiba Kecil"/>
    <x v="2"/>
    <m/>
    <m/>
    <s v="V9A3618"/>
    <s v="003"/>
    <s v="1 S/D 9"/>
    <n v="9"/>
    <d v="2023-06-19T00:00:00"/>
    <d v="2023-06-20T00:00:00"/>
    <s v="Closed"/>
    <n v="9"/>
    <n v="0"/>
    <s v="Mr. Koko"/>
    <x v="61"/>
    <s v="SPECIAL PASS OK"/>
    <m/>
  </r>
  <r>
    <n v="40"/>
    <x v="12"/>
    <x v="0"/>
    <s v="sedang"/>
    <x v="17"/>
    <s v="D2IDW-4-B-2"/>
    <x v="0"/>
    <n v="0.44"/>
    <s v="DMIA"/>
    <s v="App Blister"/>
    <x v="2"/>
    <s v="Little Scrap ± 1kg"/>
    <m/>
    <s v="V4B3611"/>
    <s v="001"/>
    <s v="1 S/D 10"/>
    <n v="10"/>
    <d v="2023-06-13T00:00:00"/>
    <d v="2023-06-16T00:00:00"/>
    <s v="Closed"/>
    <n v="10"/>
    <n v="0"/>
    <s v="Mr. Koko"/>
    <x v="61"/>
    <s v="SPECIAL PASS OK"/>
    <m/>
  </r>
  <r>
    <n v="41"/>
    <x v="12"/>
    <x v="0"/>
    <s v="sedang"/>
    <x v="4"/>
    <s v="1PEW"/>
    <x v="0"/>
    <n v="1.6"/>
    <s v="SEI-OEM"/>
    <s v="Gulungan Keluar"/>
    <x v="2"/>
    <s v="Cek Winding / Gulungan "/>
    <m/>
    <s v="12B3612"/>
    <s v="002"/>
    <s v="3"/>
    <n v="1"/>
    <d v="2023-06-12T00:00:00"/>
    <d v="2023-06-16T00:00:00"/>
    <s v="Closed"/>
    <n v="1"/>
    <n v="0"/>
    <s v="Mr. Koko"/>
    <x v="61"/>
    <s v="SPECIAL PASS OK"/>
    <m/>
  </r>
  <r>
    <n v="42"/>
    <x v="12"/>
    <x v="0"/>
    <s v="sedang"/>
    <x v="15"/>
    <s v="D2DSW2"/>
    <x v="1"/>
    <n v="0.5"/>
    <s v="HAMADEN"/>
    <s v="Ultrasonic Kecampur Lubricant"/>
    <x v="2"/>
    <s v="Kuras Tangki Ultrasonic"/>
    <m/>
    <s v="V8B3611"/>
    <s v="001"/>
    <s v="1 S/D 4"/>
    <n v="4"/>
    <d v="2023-06-12T00:00:00"/>
    <d v="2023-06-16T00:00:00"/>
    <s v="Closed"/>
    <n v="4"/>
    <n v="0"/>
    <s v="Mr. Koko"/>
    <x v="61"/>
    <s v="SPECIAL PASS OK"/>
    <m/>
  </r>
  <r>
    <n v="43"/>
    <x v="12"/>
    <x v="0"/>
    <s v="sedang"/>
    <x v="5"/>
    <s v="2-ATZ-300"/>
    <x v="1"/>
    <n v="0.42"/>
    <s v="HITACHI CHENNAI"/>
    <s v="Ultrasonic Kecampur Lubricant"/>
    <x v="2"/>
    <s v="Kuras Tangki Ultrasonic"/>
    <m/>
    <s v="V8C3611"/>
    <s v="005"/>
    <s v="1 S/D 3"/>
    <n v="3"/>
    <d v="2023-06-12T00:00:00"/>
    <d v="2023-06-16T00:00:00"/>
    <s v="Closed"/>
    <n v="3"/>
    <n v="0"/>
    <s v="Mr. Koko"/>
    <x v="61"/>
    <s v="SPECIAL PASS OK"/>
    <m/>
  </r>
  <r>
    <n v="44"/>
    <x v="12"/>
    <x v="0"/>
    <s v="sedang"/>
    <x v="3"/>
    <s v="1PEW"/>
    <x v="1"/>
    <n v="2.6"/>
    <s v="SEI-OEM"/>
    <s v="Ultrasonic Kecampur "/>
    <x v="2"/>
    <m/>
    <m/>
    <s v="V8A3612"/>
    <s v="003"/>
    <s v="1"/>
    <n v="1"/>
    <d v="2023-06-12T00:00:00"/>
    <d v="2023-06-16T00:00:00"/>
    <s v="Closed"/>
    <n v="1"/>
    <n v="0"/>
    <s v="Mr. Koko"/>
    <x v="61"/>
    <s v="SPECIAL PASS OK"/>
    <m/>
  </r>
  <r>
    <n v="45"/>
    <x v="12"/>
    <x v="0"/>
    <s v="sedang"/>
    <x v="2"/>
    <s v="2EIWAD-O"/>
    <x v="1"/>
    <n v="1.65"/>
    <s v="MEAA-OH"/>
    <s v="Lubricant Kecampur"/>
    <x v="2"/>
    <s v="Kuras Tangki Ultrasonic"/>
    <m/>
    <s v="V6B3612"/>
    <s v="001"/>
    <s v="1 S/D 6"/>
    <n v="6"/>
    <d v="2023-06-12T00:00:00"/>
    <d v="2023-06-16T00:00:00"/>
    <s v="Closed"/>
    <n v="6"/>
    <n v="0"/>
    <s v="Mr. Koko"/>
    <x v="61"/>
    <s v="SPECIAL PASS OK"/>
    <m/>
  </r>
  <r>
    <n v="46"/>
    <x v="12"/>
    <x v="0"/>
    <s v="sedang"/>
    <x v="10"/>
    <s v="0FBWSHC"/>
    <x v="0"/>
    <n v="0.95"/>
    <s v="MITSUBA"/>
    <s v="Mera"/>
    <x v="2"/>
    <s v="Fp"/>
    <m/>
    <s v="V9B3627"/>
    <s v="001"/>
    <s v="5.7.2"/>
    <n v="3"/>
    <d v="2023-06-29T00:00:00"/>
    <d v="2023-06-29T00:00:00"/>
    <s v="Closed"/>
    <n v="3"/>
    <n v="0"/>
    <s v="Mr. Koko"/>
    <x v="61"/>
    <s v="SPECIAL PASS OK"/>
    <m/>
  </r>
  <r>
    <n v="47"/>
    <x v="12"/>
    <x v="0"/>
    <s v="sedang"/>
    <x v="2"/>
    <s v="2EIWAD-O"/>
    <x v="1"/>
    <n v="1.65"/>
    <s v="MEAA-OH"/>
    <s v="Temperature Turun"/>
    <x v="2"/>
    <s v="Reset Ke Aktual"/>
    <m/>
    <s v="V6B3612"/>
    <s v="001"/>
    <s v="1 S/D 6"/>
    <n v="6"/>
    <d v="2023-06-12T00:00:00"/>
    <d v="2023-06-27T00:00:00"/>
    <s v="Closed"/>
    <n v="6"/>
    <n v="0"/>
    <s v="Mr. Koko"/>
    <x v="61"/>
    <s v="SPECIAL PASS OK"/>
    <m/>
  </r>
  <r>
    <n v="1"/>
    <x v="12"/>
    <x v="0"/>
    <s v="sedang"/>
    <x v="2"/>
    <s v="2EIWAD-O"/>
    <x v="1"/>
    <n v="1.65"/>
    <s v="MEAA-OH"/>
    <s v="Speed Fluktuasi"/>
    <x v="61"/>
    <s v="Perbaikan MTN"/>
    <m/>
    <s v="V6B3608"/>
    <s v="001"/>
    <s v="1"/>
    <n v="1"/>
    <d v="2023-06-09T00:00:00"/>
    <d v="2023-06-28T00:00:00"/>
    <s v="Closed"/>
    <n v="1"/>
    <n v="0"/>
    <s v="Mr. Koko"/>
    <x v="61"/>
    <s v="SPECIAL PASS OK"/>
    <m/>
  </r>
  <r>
    <n v="2"/>
    <x v="12"/>
    <x v="0"/>
    <s v="sedang"/>
    <x v="5"/>
    <s v="D2IDW4A-1"/>
    <x v="1"/>
    <n v="0.55400000000000005"/>
    <s v="TACI"/>
    <s v="Temperature Inlet Fluktuasi"/>
    <x v="2"/>
    <s v="PE Setting PID"/>
    <m/>
    <s v="V8C3615"/>
    <s v="001"/>
    <s v="1 S/D 3"/>
    <n v="3"/>
    <d v="2023-06-16T00:00:00"/>
    <d v="2023-06-28T00:00:00"/>
    <s v="Closed"/>
    <n v="3"/>
    <n v="0"/>
    <s v="Mr. Koko"/>
    <x v="61"/>
    <s v="SPECIAL PASS OK"/>
    <m/>
  </r>
  <r>
    <n v="3"/>
    <x v="12"/>
    <x v="0"/>
    <s v="sedang"/>
    <x v="0"/>
    <s v="2PEW"/>
    <x v="0"/>
    <n v="0.73"/>
    <s v="MELCO"/>
    <s v="Powder"/>
    <x v="2"/>
    <s v="Cleaning Felt Sebelum Box HVCT "/>
    <m/>
    <s v="11A3615"/>
    <s v="003 / 004"/>
    <s v="1 / 1"/>
    <n v="2"/>
    <d v="2023-06-16T00:00:00"/>
    <d v="2023-06-28T00:00:00"/>
    <s v="Closed"/>
    <n v="0"/>
    <n v="2"/>
    <s v="Mr. Koko"/>
    <x v="61"/>
    <s v="PRODUCT DISCRAPE"/>
    <m/>
  </r>
  <r>
    <n v="4"/>
    <x v="12"/>
    <x v="0"/>
    <s v="sedang"/>
    <x v="8"/>
    <s v="D1PEW-B-2Y"/>
    <x v="0"/>
    <n v="0.9"/>
    <s v="DMIA"/>
    <s v="CD Small"/>
    <x v="2"/>
    <s v="Adjust Tension Winding"/>
    <m/>
    <s v="V9A3625"/>
    <s v="003 / 004"/>
    <s v="1.5.6.7.9 / 7"/>
    <n v="6"/>
    <d v="2023-06-26T00:00:00"/>
    <d v="2023-06-28T00:00:00"/>
    <s v="Closed"/>
    <n v="6"/>
    <n v="0"/>
    <s v="Mr. Koko"/>
    <x v="61"/>
    <s v="SPECIAL PASS OK"/>
    <m/>
  </r>
  <r>
    <n v="5"/>
    <x v="12"/>
    <x v="0"/>
    <s v="sedang"/>
    <x v="8"/>
    <s v="D1PEW-B-2Y"/>
    <x v="0"/>
    <n v="0.9"/>
    <s v="DMIA"/>
    <s v="CD Small &amp; OD Small"/>
    <x v="2"/>
    <s v="Adjust Slidak"/>
    <m/>
    <s v="V9A3627"/>
    <s v="001 / 002"/>
    <s v="1.5.7 / 5.7"/>
    <n v="5"/>
    <d v="2023-06-27T00:00:00"/>
    <d v="2023-06-28T00:00:00"/>
    <s v="Closed"/>
    <n v="5"/>
    <n v="0"/>
    <s v="Mr. Koko"/>
    <x v="61"/>
    <s v="SPECIAL PASS OK"/>
    <m/>
  </r>
  <r>
    <n v="1"/>
    <x v="12"/>
    <x v="0"/>
    <s v="sedang"/>
    <x v="8"/>
    <s v="D1PEW-B-2Y"/>
    <x v="0"/>
    <n v="0.9"/>
    <s v="DMIA"/>
    <s v="Horiba Kecil"/>
    <x v="2"/>
    <s v="Tambah Level Oil"/>
    <m/>
    <s v="V9A3626"/>
    <s v="003"/>
    <s v="1 S/D 9"/>
    <n v="9"/>
    <d v="2023-06-27T00:00:00"/>
    <d v="2023-06-28T00:00:00"/>
    <s v="Closed"/>
    <n v="9"/>
    <n v="0"/>
    <s v="Mr. Koko"/>
    <x v="61"/>
    <s v="SPECIAL PASS OK"/>
    <m/>
  </r>
  <r>
    <n v="2"/>
    <x v="12"/>
    <x v="0"/>
    <s v="sedang"/>
    <x v="8"/>
    <s v="D1PEW-B-2Y"/>
    <x v="0"/>
    <n v="0.9"/>
    <s v="DMIA"/>
    <s v="CD Small"/>
    <x v="2"/>
    <s v="Adjust Slidak"/>
    <m/>
    <s v="V9A3624"/>
    <s v="003 / 004"/>
    <s v="5.7 / 7"/>
    <n v="3"/>
    <d v="2023-06-25T00:00:00"/>
    <d v="2023-06-27T00:00:00"/>
    <s v="Closed"/>
    <n v="3"/>
    <n v="0"/>
    <s v="Mr. Koko"/>
    <x v="61"/>
    <s v="SPECIAL PASS OK"/>
    <m/>
  </r>
  <r>
    <n v="3"/>
    <x v="12"/>
    <x v="0"/>
    <s v="sedang"/>
    <x v="7"/>
    <s v="D2IDW-4-B-2"/>
    <x v="0"/>
    <n v="0.42"/>
    <s v="DMIA"/>
    <s v="Berat Minim"/>
    <x v="2"/>
    <m/>
    <m/>
    <s v="V4A3618"/>
    <s v="002"/>
    <s v="1 S/D 10"/>
    <n v="10"/>
    <d v="2023-06-19T00:00:00"/>
    <d v="2023-06-20T00:00:00"/>
    <s v="Closed"/>
    <n v="10"/>
    <n v="0"/>
    <s v="Mr. Koko"/>
    <x v="61"/>
    <s v="SPECIAL PASS OK"/>
    <m/>
  </r>
  <r>
    <n v="4"/>
    <x v="12"/>
    <x v="0"/>
    <s v="sedang"/>
    <x v="8"/>
    <s v="D1PEW-B-2Y"/>
    <x v="0"/>
    <n v="0.9"/>
    <s v="DMIA"/>
    <s v="Horiba Kecil"/>
    <x v="2"/>
    <s v="Tambah Level Oil"/>
    <m/>
    <s v="V9A3622"/>
    <s v="003"/>
    <s v="1 S/D 9"/>
    <n v="9"/>
    <d v="2023-06-23T00:00:00"/>
    <d v="2023-06-26T00:00:00"/>
    <s v="Closed"/>
    <n v="9"/>
    <n v="0"/>
    <s v="Mr. Koko"/>
    <x v="61"/>
    <s v="SPECIAL PASS OK"/>
    <m/>
  </r>
  <r>
    <n v="5"/>
    <x v="12"/>
    <x v="0"/>
    <s v="sedang"/>
    <x v="17"/>
    <s v="T3-EIWAD"/>
    <x v="0"/>
    <n v="0.45"/>
    <s v="WIN-A"/>
    <s v="CD Big &amp; OD Big"/>
    <x v="2"/>
    <s v="Fp"/>
    <m/>
    <s v="V4B3624"/>
    <s v="001"/>
    <s v="1.3.5"/>
    <n v="3"/>
    <d v="2023-06-25T00:00:00"/>
    <d v="2023-06-26T00:00:00"/>
    <s v="Closed"/>
    <n v="3"/>
    <n v="0"/>
    <s v="Mr. Koko"/>
    <x v="61"/>
    <s v="SPECIAL PASS OK"/>
    <m/>
  </r>
  <r>
    <n v="6"/>
    <x v="12"/>
    <x v="0"/>
    <s v="sedang"/>
    <x v="7"/>
    <s v="T3-EIWAD"/>
    <x v="0"/>
    <n v="0.45"/>
    <s v="WIN-A"/>
    <s v="CD Big"/>
    <x v="2"/>
    <s v="Fp"/>
    <m/>
    <s v="V4A3623"/>
    <s v="003 / 004"/>
    <s v="1.3.5.8"/>
    <n v="8"/>
    <d v="2023-06-24T00:00:00"/>
    <d v="2023-06-26T00:00:00"/>
    <s v="Closed"/>
    <n v="8"/>
    <n v="0"/>
    <s v="Mr. Koko"/>
    <x v="61"/>
    <s v="SPECIAL PASS OK"/>
    <m/>
  </r>
  <r>
    <n v="7"/>
    <x v="12"/>
    <x v="0"/>
    <s v="sedang"/>
    <x v="7"/>
    <s v="D2IDW-4-B-2"/>
    <x v="1"/>
    <n v="0.42"/>
    <s v="DMIA"/>
    <s v="Electric Dip Voltage"/>
    <x v="2"/>
    <m/>
    <m/>
    <s v="V4A3617"/>
    <s v="001"/>
    <s v="1 S/D 10"/>
    <n v="10"/>
    <d v="2023-06-17T00:00:00"/>
    <d v="2023-06-23T00:00:00"/>
    <s v="Closed"/>
    <n v="10"/>
    <n v="0"/>
    <s v="Mr. Koko"/>
    <x v="61"/>
    <s v="SPECIAL PASS OK"/>
    <m/>
  </r>
  <r>
    <n v="8"/>
    <x v="12"/>
    <x v="0"/>
    <s v="sedang"/>
    <x v="9"/>
    <s v="D2IDW4A-1"/>
    <x v="1"/>
    <n v="0.57999999999999996"/>
    <s v="TACI"/>
    <s v="Electric Ngetrip"/>
    <x v="2"/>
    <m/>
    <m/>
    <s v="VOB3617"/>
    <s v="001"/>
    <s v="1 S/D 5"/>
    <n v="5"/>
    <d v="2023-06-17T00:00:00"/>
    <d v="2023-06-23T00:00:00"/>
    <s v="Closed"/>
    <n v="5"/>
    <n v="0"/>
    <s v="Mr. Koko"/>
    <x v="61"/>
    <s v="SPECIAL PASS OK"/>
    <m/>
  </r>
  <r>
    <n v="9"/>
    <x v="12"/>
    <x v="0"/>
    <s v="sedang"/>
    <x v="15"/>
    <s v="D2IDW4A-1"/>
    <x v="1"/>
    <n v="0.57999999999999996"/>
    <s v="TACI"/>
    <s v="Electric Dip Voltage"/>
    <x v="2"/>
    <m/>
    <m/>
    <s v="V8B3617"/>
    <s v="001"/>
    <s v="2.3"/>
    <n v="2"/>
    <d v="2023-06-17T00:00:00"/>
    <d v="2023-06-23T00:00:00"/>
    <s v="Closed"/>
    <n v="2"/>
    <n v="0"/>
    <s v="Mr. Koko"/>
    <x v="61"/>
    <s v="SPECIAL PASS OK"/>
    <m/>
  </r>
  <r>
    <n v="10"/>
    <x v="12"/>
    <x v="0"/>
    <s v="sedang"/>
    <x v="5"/>
    <s v="D2IDW4A-1"/>
    <x v="1"/>
    <n v="0.55400000000000005"/>
    <s v="TACI"/>
    <s v="Electric Trip"/>
    <x v="2"/>
    <m/>
    <m/>
    <s v="V8C3617"/>
    <s v="001"/>
    <s v="1 S/D 3"/>
    <n v="3"/>
    <d v="2023-06-17T00:00:00"/>
    <d v="2023-06-23T00:00:00"/>
    <s v="Closed"/>
    <n v="3"/>
    <n v="0"/>
    <s v="Mr. Koko"/>
    <x v="61"/>
    <s v="SPECIAL PASS OK"/>
    <m/>
  </r>
  <r>
    <n v="11"/>
    <x v="12"/>
    <x v="0"/>
    <s v="sedang"/>
    <x v="6"/>
    <s v="D2DSW2"/>
    <x v="1"/>
    <n v="0.5"/>
    <s v="HAMADEN"/>
    <s v="Electric Trip"/>
    <x v="2"/>
    <m/>
    <m/>
    <s v="V8D3617"/>
    <s v="002"/>
    <s v="1 S/D 4"/>
    <n v="4"/>
    <d v="2023-06-17T00:00:00"/>
    <d v="2023-06-23T00:00:00"/>
    <s v="Closed"/>
    <n v="4"/>
    <n v="0"/>
    <s v="Mr. Koko"/>
    <x v="61"/>
    <s v="SPECIAL PASS OK"/>
    <m/>
  </r>
  <r>
    <n v="12"/>
    <x v="12"/>
    <x v="0"/>
    <s v="sedang"/>
    <x v="8"/>
    <s v="D1PEW-B-2Y"/>
    <x v="1"/>
    <n v="0.9"/>
    <s v="DMIA"/>
    <s v="Electric Trip"/>
    <x v="2"/>
    <m/>
    <m/>
    <s v="V9A3617"/>
    <s v="003"/>
    <s v="1 S/D 9"/>
    <n v="9"/>
    <d v="2023-06-17T00:00:00"/>
    <d v="2023-06-23T00:00:00"/>
    <s v="Closed"/>
    <n v="9"/>
    <n v="0"/>
    <s v="Mr. Koko"/>
    <x v="61"/>
    <s v="SPECIAL PASS OK"/>
    <m/>
  </r>
  <r>
    <n v="13"/>
    <x v="12"/>
    <x v="0"/>
    <s v="sedang"/>
    <x v="11"/>
    <s v="2EIWAD-O"/>
    <x v="1"/>
    <n v="1.81"/>
    <s v="MEAA-OH"/>
    <s v="Electric Dip Voltage"/>
    <x v="2"/>
    <s v="Re Start Up"/>
    <m/>
    <s v="12A3617"/>
    <s v="002"/>
    <s v="All"/>
    <n v="5"/>
    <d v="2023-06-18T00:00:00"/>
    <d v="2023-06-21T00:00:00"/>
    <s v="Closed"/>
    <n v="5"/>
    <n v="0"/>
    <s v="Mr. Koko"/>
    <x v="61"/>
    <s v="SPECIAL PASS OK"/>
    <m/>
  </r>
  <r>
    <n v="14"/>
    <x v="12"/>
    <x v="0"/>
    <s v="sedang"/>
    <x v="3"/>
    <s v="1PEW"/>
    <x v="1"/>
    <n v="1.5"/>
    <s v="SEI-OEM"/>
    <s v="Electric Dip Voltage"/>
    <x v="2"/>
    <s v="Re Start Up"/>
    <m/>
    <s v="V8A3617"/>
    <s v="020"/>
    <s v="1"/>
    <n v="1"/>
    <d v="2023-06-17T00:00:00"/>
    <d v="2023-06-21T00:00:00"/>
    <s v="Closed"/>
    <n v="1"/>
    <n v="0"/>
    <s v="Mr. Koko"/>
    <x v="61"/>
    <s v="SPECIAL PASS OK"/>
    <m/>
  </r>
  <r>
    <n v="15"/>
    <x v="12"/>
    <x v="0"/>
    <s v="sedang"/>
    <x v="2"/>
    <s v="2EIWAD-O"/>
    <x v="1"/>
    <n v="1.65"/>
    <s v="MEAA-OH"/>
    <s v="Varnish Over Coat Kering "/>
    <x v="62"/>
    <s v="- Buka Varnish Diperbesar - Produk LS 11kg Size OD ok"/>
    <m/>
    <s v="V6B2O13 / 14"/>
    <s v="001"/>
    <s v="1.2.3.5.6 / 4"/>
    <n v="6"/>
    <d v="2022-10-14T00:00:00"/>
    <d v="2022-10-21T00:00:00"/>
    <s v="Closed"/>
    <n v="6"/>
    <n v="0"/>
    <s v="Mr. Koko"/>
    <x v="61"/>
    <s v="SPECIAL PASS OK"/>
    <m/>
  </r>
  <r>
    <n v="16"/>
    <x v="12"/>
    <x v="0"/>
    <s v="sedang"/>
    <x v="4"/>
    <s v="D1-IDW-4"/>
    <x v="1"/>
    <n v="1.1499999999999999"/>
    <s v="DENSO FAJAR"/>
    <s v="Ultrasonic Kecampur Lubricant"/>
    <x v="2"/>
    <s v="Kuras Tangki Ultrasonic"/>
    <m/>
    <s v="12B3611"/>
    <s v="006"/>
    <s v="All"/>
    <n v="5"/>
    <d v="2023-06-12T00:00:00"/>
    <d v="2023-06-15T00:00:00"/>
    <s v="Closed"/>
    <n v="5"/>
    <n v="0"/>
    <s v="Mr. Koko"/>
    <x v="61"/>
    <s v="SPECIAL PASS OK"/>
    <m/>
  </r>
  <r>
    <n v="17"/>
    <x v="12"/>
    <x v="0"/>
    <s v="sedang"/>
    <x v="10"/>
    <s v="0FBWSHC"/>
    <x v="1"/>
    <n v="1.2"/>
    <s v="MITSUBA"/>
    <s v="Ultrasonic Mix"/>
    <x v="2"/>
    <s v="Kuras Tangki Ultrasonic"/>
    <m/>
    <s v="V9B3611"/>
    <s v="002"/>
    <s v="1 S/D 7"/>
    <n v="7"/>
    <d v="2023-06-12T00:00:00"/>
    <d v="2023-06-15T00:00:00"/>
    <s v="Closed"/>
    <n v="7"/>
    <n v="0"/>
    <s v="Mr. Koko"/>
    <x v="61"/>
    <s v="SPECIAL PASS OK"/>
    <m/>
  </r>
  <r>
    <n v="18"/>
    <x v="12"/>
    <x v="0"/>
    <s v="sedang"/>
    <x v="0"/>
    <s v="2PEW"/>
    <x v="1"/>
    <n v="0.82"/>
    <s v="MELCO"/>
    <s v="Ultrasonic Kecampur Lubricant"/>
    <x v="2"/>
    <s v="Kuras Tangki Ultrasonic"/>
    <m/>
    <s v="11A3611"/>
    <s v="004"/>
    <s v="All"/>
    <n v="5"/>
    <d v="2023-06-12T00:00:00"/>
    <d v="2023-06-16T00:00:00"/>
    <s v="Closed"/>
    <n v="5"/>
    <n v="0"/>
    <s v="Mr. Koko"/>
    <x v="61"/>
    <s v="SPECIAL PASS OK"/>
    <m/>
  </r>
  <r>
    <n v="19"/>
    <x v="12"/>
    <x v="0"/>
    <s v="sedang"/>
    <x v="23"/>
    <s v="D1-PEW-B-2T"/>
    <x v="1"/>
    <n v="0.6"/>
    <s v="DMIA"/>
    <s v="Ultrasonic Mix"/>
    <x v="2"/>
    <s v="Kuras Tangki Ultrasonic"/>
    <m/>
    <s v="VOA3611"/>
    <s v="003"/>
    <s v="1 S/D 5"/>
    <n v="5"/>
    <d v="2023-06-12T00:00:00"/>
    <d v="2023-06-16T00:00:00"/>
    <s v="Closed"/>
    <n v="5"/>
    <n v="0"/>
    <s v="Mr. Koko"/>
    <x v="61"/>
    <s v="SPECIAL PASS OK"/>
    <m/>
  </r>
  <r>
    <n v="20"/>
    <x v="12"/>
    <x v="0"/>
    <s v="sedang"/>
    <x v="9"/>
    <s v="D2IDW-4-B-2"/>
    <x v="1"/>
    <n v="0.7"/>
    <s v="DMIA"/>
    <s v="Ultrasonic Mix"/>
    <x v="2"/>
    <s v="Kuras Tangki Ultrasonic"/>
    <m/>
    <s v="VOB3611"/>
    <s v="004"/>
    <s v="1 S/D 5"/>
    <n v="5"/>
    <d v="2023-06-11T00:00:00"/>
    <d v="2023-06-16T00:00:00"/>
    <s v="Closed"/>
    <n v="5"/>
    <n v="0"/>
    <s v="Mr. Koko"/>
    <x v="61"/>
    <s v="SPECIAL PASS OK"/>
    <m/>
  </r>
  <r>
    <n v="21"/>
    <x v="12"/>
    <x v="0"/>
    <s v="sedang"/>
    <x v="1"/>
    <s v="D1-PEW-B-2Y"/>
    <x v="1"/>
    <n v="0.85"/>
    <s v="WIN-A (DMNC-S)"/>
    <s v="Air Ultrasonic NG"/>
    <x v="2"/>
    <s v="Kuras Tangki Ultrasonic"/>
    <m/>
    <s v="11B3611"/>
    <s v="001 / 002 / 003"/>
    <s v="2.3.4 / 3.5 / 4"/>
    <n v="6"/>
    <d v="2023-06-12T00:00:00"/>
    <d v="2023-06-16T00:00:00"/>
    <s v="Closed"/>
    <n v="6"/>
    <n v="0"/>
    <s v="Mr. Koko"/>
    <x v="61"/>
    <s v="SPECIAL PASS OK"/>
    <m/>
  </r>
  <r>
    <n v="22"/>
    <x v="12"/>
    <x v="0"/>
    <s v="sedang"/>
    <x v="11"/>
    <s v="2EIWAD-O"/>
    <x v="1"/>
    <n v="1.81"/>
    <s v="MEAA-OH"/>
    <s v="Ultrasonic Kecampur Lubricant"/>
    <x v="2"/>
    <s v="Kuras Tangki Ultrasonic"/>
    <m/>
    <s v="12A3611"/>
    <s v="001"/>
    <s v="All"/>
    <n v="5"/>
    <d v="2023-06-12T00:00:00"/>
    <d v="2023-06-15T00:00:00"/>
    <s v="Closed"/>
    <n v="5"/>
    <n v="0"/>
    <s v="Mr. Koko"/>
    <x v="61"/>
    <s v="SPECIAL PASS OK"/>
    <m/>
  </r>
  <r>
    <n v="23"/>
    <x v="12"/>
    <x v="0"/>
    <s v="sedang"/>
    <x v="8"/>
    <s v="D1PEW-B-2Y"/>
    <x v="0"/>
    <n v="0.9"/>
    <s v="DMIA"/>
    <s v="Horiba Kecil"/>
    <x v="2"/>
    <s v="Adjust Roller Speed SPB Oil dari 4.2 ---&gt; 4.4"/>
    <m/>
    <s v="V9A3627"/>
    <s v="003"/>
    <s v="1 S/D 9"/>
    <n v="9"/>
    <d v="2023-06-28T00:00:00"/>
    <d v="2023-06-30T00:00:00"/>
    <s v="Closed"/>
    <n v="9"/>
    <n v="0"/>
    <s v="Mr. Koko"/>
    <x v="61"/>
    <s v="SPECIAL PASS OK"/>
    <m/>
  </r>
  <r>
    <n v="24"/>
    <x v="12"/>
    <x v="0"/>
    <s v="sedang"/>
    <x v="15"/>
    <s v="2PEW"/>
    <x v="1"/>
    <n v="0.35"/>
    <s v="MAPI"/>
    <s v="Ultrasonic Kecampur "/>
    <x v="2"/>
    <s v="Kuras Tangki Ultrasonic"/>
    <m/>
    <s v="V8B3611"/>
    <s v="001"/>
    <s v="1 S/D 3"/>
    <n v="3"/>
    <d v="2023-06-12T00:00:00"/>
    <d v="2023-06-16T00:00:00"/>
    <s v="Closed"/>
    <n v="3"/>
    <n v="0"/>
    <s v="Mr. Koko"/>
    <x v="61"/>
    <s v="SPECIAL PASS OK"/>
    <m/>
  </r>
  <r>
    <n v="25"/>
    <x v="12"/>
    <x v="0"/>
    <s v="sedang"/>
    <x v="11"/>
    <s v="2EIWAD-O"/>
    <x v="0"/>
    <n v="1.81"/>
    <s v="MEAA-OH"/>
    <s v="Friction Big"/>
    <x v="2"/>
    <s v="No Action"/>
    <m/>
    <s v="12A2O26"/>
    <s v="001 / 002"/>
    <s v="1.2.3.4.5"/>
    <n v="7"/>
    <d v="2022-10-27T00:00:00"/>
    <d v="2022-10-31T00:00:00"/>
    <s v="Closed"/>
    <n v="7"/>
    <n v="0"/>
    <s v="Mr. Koko"/>
    <x v="61"/>
    <s v="SPECIAL PASS OK"/>
    <m/>
  </r>
  <r>
    <n v="26"/>
    <x v="12"/>
    <x v="0"/>
    <s v="sedang"/>
    <x v="8"/>
    <s v="1-ATZ-300"/>
    <x v="1"/>
    <n v="1.25"/>
    <s v="YEID"/>
    <s v="Ultrasonic Kecampur lubricant"/>
    <x v="2"/>
    <s v="Kuras Tangki Ultrasonic"/>
    <m/>
    <s v="V9A3611"/>
    <s v="004"/>
    <s v="1 S/D 7"/>
    <n v="7"/>
    <d v="2023-06-12T00:00:00"/>
    <d v="2023-06-16T00:00:00"/>
    <s v="Closed"/>
    <n v="7"/>
    <n v="0"/>
    <s v="Mr. Koko"/>
    <x v="61"/>
    <s v="SPECIAL PASS OK"/>
    <m/>
  </r>
  <r>
    <n v="27"/>
    <x v="12"/>
    <x v="0"/>
    <s v="sedang"/>
    <x v="8"/>
    <s v="1FBWSHC"/>
    <x v="0"/>
    <n v="1.3"/>
    <s v="YEID"/>
    <s v="Gulungan Silang"/>
    <x v="2"/>
    <m/>
    <m/>
    <s v="V9A3603"/>
    <s v="004"/>
    <s v="4"/>
    <n v="1"/>
    <d v="2023-06-04T00:00:00"/>
    <d v="2023-06-07T00:00:00"/>
    <s v="Closed"/>
    <n v="1"/>
    <n v="0"/>
    <s v="Mr. Koko"/>
    <x v="61"/>
    <s v="SPECIAL PASS OK"/>
    <m/>
  </r>
  <r>
    <n v="28"/>
    <x v="12"/>
    <x v="0"/>
    <s v="sedang"/>
    <x v="10"/>
    <s v="0FBWCC"/>
    <x v="0"/>
    <n v="1.1000000000000001"/>
    <s v="YEID"/>
    <s v="App NG"/>
    <x v="63"/>
    <s v="Change Dies Step Coating"/>
    <m/>
    <s v="V9B3605"/>
    <s v="001 / 002"/>
    <s v="2 / 1.2"/>
    <n v="3"/>
    <d v="2023-06-05T00:00:00"/>
    <d v="2023-06-07T00:00:00"/>
    <s v="Closed"/>
    <n v="3"/>
    <n v="0"/>
    <s v="Mr. Koko"/>
    <x v="61"/>
    <s v="SPECIAL PASS OK"/>
    <m/>
  </r>
  <r>
    <n v="29"/>
    <x v="12"/>
    <x v="0"/>
    <s v="sedang"/>
    <x v="10"/>
    <s v="0FBWCC"/>
    <x v="0"/>
    <n v="1.1000000000000001"/>
    <s v="YEID"/>
    <s v="Blister"/>
    <x v="64"/>
    <s v="Change Dies Coat"/>
    <m/>
    <s v="V9B3604"/>
    <s v="003 / 004"/>
    <s v="1.2"/>
    <n v="3"/>
    <d v="2023-06-05T00:00:00"/>
    <d v="2023-06-07T00:00:00"/>
    <s v="Closed"/>
    <n v="3"/>
    <n v="0"/>
    <s v="Mr. Koko"/>
    <x v="61"/>
    <s v="SPECIAL PASS OK"/>
    <m/>
  </r>
  <r>
    <n v="30"/>
    <x v="12"/>
    <x v="0"/>
    <s v="sedang"/>
    <x v="10"/>
    <s v="0FBWCC"/>
    <x v="0"/>
    <n v="1.1000000000000001"/>
    <s v="YEID"/>
    <s v="Blister"/>
    <x v="2"/>
    <s v="Mc Stop"/>
    <m/>
    <s v="V9B3606"/>
    <s v="001"/>
    <s v="4.5"/>
    <n v="2"/>
    <d v="2023-06-05T00:00:00"/>
    <d v="2023-06-07T00:00:00"/>
    <s v="Closed"/>
    <n v="2"/>
    <n v="0"/>
    <s v="Mr. Koko"/>
    <x v="61"/>
    <s v="SPECIAL PASS OK"/>
    <m/>
  </r>
  <r>
    <n v="31"/>
    <x v="12"/>
    <x v="0"/>
    <s v="sedang"/>
    <x v="7"/>
    <s v="D2DSW2"/>
    <x v="0"/>
    <n v="0.5"/>
    <s v="HAMADEN"/>
    <s v="Blister &amp; Gulungan Silang"/>
    <x v="2"/>
    <m/>
    <m/>
    <s v="V4A3605"/>
    <s v="002"/>
    <s v="7.8"/>
    <n v="2"/>
    <d v="2023-06-05T00:00:00"/>
    <d v="2023-06-07T00:00:00"/>
    <s v="Closed"/>
    <n v="2"/>
    <n v="0"/>
    <s v="Mr. Koko"/>
    <x v="61"/>
    <s v="SPECIAL PASS OK"/>
    <m/>
  </r>
  <r>
    <n v="32"/>
    <x v="12"/>
    <x v="0"/>
    <s v="sedang"/>
    <x v="10"/>
    <s v="0FBWCC"/>
    <x v="0"/>
    <n v="1.1000000000000001"/>
    <s v="YEID"/>
    <s v="Blister"/>
    <x v="2"/>
    <s v="Change Dies Coating"/>
    <m/>
    <s v="V9B3605"/>
    <s v="003 / 004"/>
    <s v="1 S/D 5 / 1.2.4.5"/>
    <n v="9"/>
    <d v="2023-06-06T00:00:00"/>
    <d v="2023-06-07T00:00:00"/>
    <s v="Closed"/>
    <n v="9"/>
    <n v="0"/>
    <s v="Mr. Koko"/>
    <x v="61"/>
    <s v="SPECIAL PASS OK"/>
    <m/>
  </r>
  <r>
    <n v="33"/>
    <x v="12"/>
    <x v="0"/>
    <s v="sedang"/>
    <x v="10"/>
    <s v="0FBWCC"/>
    <x v="0"/>
    <n v="1.1000000000000001"/>
    <s v="YEID"/>
    <s v="Blister"/>
    <x v="2"/>
    <s v="Cleaning Aplicator Box &amp; Dies Coating, Re Start Up"/>
    <m/>
    <s v="V9B3603"/>
    <s v="004"/>
    <s v="3"/>
    <n v="1"/>
    <d v="2023-06-04T00:00:00"/>
    <d v="2023-06-07T00:00:00"/>
    <s v="Closed"/>
    <n v="1"/>
    <n v="0"/>
    <s v="Mr. Koko"/>
    <x v="61"/>
    <s v="SPECIAL PASS OK"/>
    <m/>
  </r>
  <r>
    <n v="34"/>
    <x v="12"/>
    <x v="0"/>
    <s v="sedang"/>
    <x v="3"/>
    <s v="1PEW"/>
    <x v="0"/>
    <n v="2"/>
    <s v="SEI-OEM"/>
    <s v="CD Big"/>
    <x v="2"/>
    <m/>
    <m/>
    <s v="V8A3606"/>
    <s v="007"/>
    <s v="1"/>
    <n v="1"/>
    <d v="2023-06-06T00:00:00"/>
    <d v="2023-06-07T00:00:00"/>
    <s v="Closed"/>
    <n v="1"/>
    <n v="0"/>
    <s v="Mr. Koko"/>
    <x v="61"/>
    <s v="SPECIAL PASS OK"/>
    <m/>
  </r>
  <r>
    <n v="35"/>
    <x v="12"/>
    <x v="0"/>
    <s v="sedang"/>
    <x v="3"/>
    <s v="1PEW"/>
    <x v="0"/>
    <n v="2"/>
    <s v="SEI-OEM"/>
    <s v="CD Big &amp; Thickness Kecil"/>
    <x v="2"/>
    <m/>
    <m/>
    <s v="V8A3605"/>
    <s v="022 / 023"/>
    <s v="1 / 1"/>
    <n v="2"/>
    <d v="2023-06-06T00:00:00"/>
    <d v="2023-06-07T00:00:00"/>
    <s v="Closed"/>
    <n v="2"/>
    <n v="0"/>
    <s v="Mr. Koko"/>
    <x v="61"/>
    <s v="SPECIAL PASS OK"/>
    <m/>
  </r>
  <r>
    <m/>
    <x v="12"/>
    <x v="0"/>
    <s v="sedang"/>
    <x v="23"/>
    <s v="D1-PEW-B-2T"/>
    <x v="0"/>
    <n v="0.56000000000000005"/>
    <s v="DMIA"/>
    <s v="Hempei CD"/>
    <x v="2"/>
    <s v="Rotary Dies Inline"/>
    <m/>
    <s v="VOA3621"/>
    <s v="003"/>
    <s v="5"/>
    <n v="1"/>
    <d v="2023-06-22T00:00:00"/>
    <d v="2023-07-12T00:00:00"/>
    <s v="Closed"/>
    <n v="1"/>
    <n v="0"/>
    <s v="Mr. Koko"/>
    <x v="61"/>
    <s v="SPECIAL PASS OK"/>
    <m/>
  </r>
  <r>
    <n v="36"/>
    <x v="12"/>
    <x v="1"/>
    <s v="sedang"/>
    <x v="20"/>
    <s v="D2IDW4-B-2"/>
    <x v="0"/>
    <n v="0.26"/>
    <s v="SEI-ASMO"/>
    <s v="ECC Big Scratch"/>
    <x v="65"/>
    <s v="Change FD Inline"/>
    <m/>
    <s v="H1A3618"/>
    <s v="Start Up"/>
    <s v="3"/>
    <n v="1"/>
    <d v="2023-06-19T00:00:00"/>
    <d v="2023-07-03T00:00:00"/>
    <s v="Closed"/>
    <n v="1"/>
    <n v="0"/>
    <s v="Mr. Koko"/>
    <x v="61"/>
    <s v="SPECIAL PASS OK"/>
    <m/>
  </r>
  <r>
    <n v="37"/>
    <x v="12"/>
    <x v="1"/>
    <s v="sedang"/>
    <x v="28"/>
    <s v="1AIW"/>
    <x v="0"/>
    <n v="0.28999999999999998"/>
    <s v="NDKI"/>
    <s v="DF Big"/>
    <x v="2"/>
    <s v="Temperature Oven Dinaikkan 15°C"/>
    <m/>
    <s v="H5B3622"/>
    <s v="001"/>
    <s v="1"/>
    <n v="1"/>
    <d v="2023-06-22T00:00:00"/>
    <d v="2023-07-03T00:00:00"/>
    <s v="Closed"/>
    <n v="1"/>
    <n v="0"/>
    <s v="Mr. Koko"/>
    <x v="61"/>
    <s v="SPECIAL PASS OK"/>
    <m/>
  </r>
  <r>
    <n v="38"/>
    <x v="12"/>
    <x v="1"/>
    <s v="sedang"/>
    <x v="11"/>
    <s v="2EIWAD-O"/>
    <x v="0"/>
    <n v="1.81"/>
    <s v="MEAA-OH"/>
    <s v="M-TAN EI Kecil"/>
    <x v="66"/>
    <m/>
    <m/>
    <s v="12A2O25"/>
    <s v="Start-Up"/>
    <s v="1 S/D 5"/>
    <n v="5"/>
    <d v="2022-10-25T00:00:00"/>
    <d v="2022-10-27T00:00:00"/>
    <s v="Closed"/>
    <n v="5"/>
    <n v="0"/>
    <s v="Mr. Koko"/>
    <x v="61"/>
    <s v="SPECIAL PASS OK"/>
    <m/>
  </r>
  <r>
    <n v="39"/>
    <x v="12"/>
    <x v="1"/>
    <s v="sedang"/>
    <x v="27"/>
    <s v="1UEW"/>
    <x v="1"/>
    <n v="0.4"/>
    <s v="YEID"/>
    <s v="OD Fluktuasi"/>
    <x v="67"/>
    <m/>
    <m/>
    <s v="H4A3608"/>
    <s v="007 S/D 009"/>
    <s v="1"/>
    <n v="3"/>
    <d v="2023-06-09T00:00:00"/>
    <d v="2023-07-03T00:00:00"/>
    <s v="Closed"/>
    <n v="0"/>
    <n v="3"/>
    <s v="Mr. Koko"/>
    <x v="61"/>
    <s v="PRODUCT DISCRAPE"/>
    <m/>
  </r>
  <r>
    <n v="40"/>
    <x v="12"/>
    <x v="1"/>
    <s v="sedang"/>
    <x v="14"/>
    <s v="D2IDW4-B-2"/>
    <x v="0"/>
    <n v="0.25"/>
    <s v="DMIA"/>
    <s v="ECC Big"/>
    <x v="21"/>
    <s v="Cleaning Dies &amp; Rotary"/>
    <m/>
    <s v="H2A3620"/>
    <s v="001"/>
    <s v="2"/>
    <n v="1"/>
    <d v="2023-06-21T00:00:00"/>
    <d v="2023-06-26T00:00:00"/>
    <s v="Closed"/>
    <n v="1"/>
    <n v="0"/>
    <s v="Mr. Koko"/>
    <x v="61"/>
    <s v="SPECIAL PASS OK"/>
    <m/>
  </r>
  <r>
    <n v="41"/>
    <x v="12"/>
    <x v="1"/>
    <s v="sedang"/>
    <x v="28"/>
    <s v="1AIW"/>
    <x v="0"/>
    <n v="0.28999999999999998"/>
    <s v="NDKI"/>
    <s v="DF Big"/>
    <x v="68"/>
    <m/>
    <m/>
    <s v="H5B3621"/>
    <s v="001 S/D 003"/>
    <s v="1"/>
    <n v="3"/>
    <d v="2023-06-21T00:00:00"/>
    <d v="2023-06-26T00:00:00"/>
    <s v="Closed"/>
    <n v="3"/>
    <n v="0"/>
    <s v="Mr. Koko"/>
    <x v="61"/>
    <s v="SPECIAL PASS OK"/>
    <m/>
  </r>
  <r>
    <m/>
    <x v="12"/>
    <x v="1"/>
    <s v="sedang"/>
    <x v="27"/>
    <s v="1UEW"/>
    <x v="1"/>
    <n v="0.4"/>
    <s v="YEID"/>
    <s v="Dancer Inline Tidak Stabil"/>
    <x v="69"/>
    <m/>
    <m/>
    <s v="H4A3608"/>
    <s v="001 S/D 006"/>
    <s v="1"/>
    <n v="6"/>
    <d v="2023-06-30T00:00:00"/>
    <d v="2023-07-11T00:00:00"/>
    <s v="Closed"/>
    <n v="0"/>
    <n v="6"/>
    <s v="Mr. Koko"/>
    <x v="61"/>
    <s v="PRODUCT DISCRAPE"/>
    <m/>
  </r>
  <r>
    <m/>
    <x v="12"/>
    <x v="1"/>
    <s v="sedang"/>
    <x v="22"/>
    <s v="1AIW"/>
    <x v="1"/>
    <n v="0.28999999999999998"/>
    <s v="NDKI"/>
    <s v="App Blister"/>
    <x v="70"/>
    <s v="Mc Stop"/>
    <m/>
    <s v="H2B3623"/>
    <s v="001"/>
    <s v="1.3.4.5"/>
    <n v="4"/>
    <d v="2023-06-23T00:00:00"/>
    <d v="2023-07-21T00:00:00"/>
    <s v="Closed"/>
    <n v="0"/>
    <n v="4"/>
    <s v="Mr. Koko"/>
    <x v="61"/>
    <s v="PRODUCT DISCRAPE"/>
    <m/>
  </r>
  <r>
    <m/>
    <x v="12"/>
    <x v="1"/>
    <s v="sedang"/>
    <x v="22"/>
    <s v="1AIW"/>
    <x v="1"/>
    <n v="0.28999999999999998"/>
    <s v="NDKI"/>
    <s v="App Blister"/>
    <x v="70"/>
    <s v="Cleaning Dies Coating"/>
    <m/>
    <s v="H2B3620"/>
    <s v="001 S/D 004"/>
    <s v="1.2.4.5"/>
    <n v="8"/>
    <d v="2023-06-20T00:00:00"/>
    <d v="2023-07-24T00:00:00"/>
    <s v="Closed"/>
    <n v="0"/>
    <n v="8"/>
    <s v="Mr. Koko"/>
    <x v="61"/>
    <s v="PRODUCT DISCRAPE"/>
    <m/>
  </r>
  <r>
    <m/>
    <x v="12"/>
    <x v="1"/>
    <s v="sedang"/>
    <x v="22"/>
    <s v="1AIW"/>
    <x v="1"/>
    <n v="0.28999999999999998"/>
    <s v="NDKI"/>
    <s v="App Blister"/>
    <x v="70"/>
    <s v="- Check Pass line - Cleaning Dies Coating"/>
    <m/>
    <s v="H2B3621"/>
    <s v="001 S/D 003"/>
    <s v="2.4.5"/>
    <n v="6"/>
    <d v="2023-06-21T00:00:00"/>
    <d v="2023-07-24T00:00:00"/>
    <s v="Closed"/>
    <n v="0"/>
    <n v="6"/>
    <s v="Mr. Koko"/>
    <x v="61"/>
    <s v="PRODUCT DISCRAPE"/>
    <m/>
  </r>
  <r>
    <m/>
    <x v="12"/>
    <x v="1"/>
    <s v="sedang"/>
    <x v="22"/>
    <s v="1AIW"/>
    <x v="1"/>
    <n v="0.28999999999999998"/>
    <s v="NDKI"/>
    <s v="App Blister"/>
    <x v="70"/>
    <s v="- Change FD - Change Step Dies Coating"/>
    <m/>
    <s v="H2B3622"/>
    <s v="002 S/D 005 / 001"/>
    <s v="1.2.3.5 / 4"/>
    <n v="17"/>
    <d v="2023-06-22T00:00:00"/>
    <d v="2023-07-24T00:00:00"/>
    <s v="Closed"/>
    <n v="0"/>
    <n v="17"/>
    <s v="Mr. Koko"/>
    <x v="61"/>
    <s v="PRODUCT DISCRAPE"/>
    <m/>
  </r>
  <r>
    <n v="42"/>
    <x v="13"/>
    <x v="0"/>
    <s v="sedang"/>
    <x v="1"/>
    <s v="D1-PEW-B-2T"/>
    <x v="0"/>
    <n v="0.75"/>
    <s v="SEI-ASMO"/>
    <s v="ECC Big"/>
    <x v="2"/>
    <s v="Siwa, Rotary Dies Coat"/>
    <m/>
    <s v="11B3703"/>
    <s v="Advance Sample "/>
    <s v="1.5"/>
    <n v="2"/>
    <d v="2023-07-04T00:00:00"/>
    <d v="2023-07-11T00:00:00"/>
    <s v="Closed"/>
    <n v="2"/>
    <n v="0"/>
    <s v="Mr. Koko"/>
    <x v="61"/>
    <s v="SPECIAL PASS OK"/>
    <m/>
  </r>
  <r>
    <n v="43"/>
    <x v="13"/>
    <x v="0"/>
    <s v="sedang"/>
    <x v="9"/>
    <s v="D2IDW-4-B-2 "/>
    <x v="0"/>
    <n v="0.7"/>
    <s v="DMIA"/>
    <s v="Horiba Kecil"/>
    <x v="71"/>
    <s v="Tambah Level Oil"/>
    <m/>
    <s v="VOB3709"/>
    <s v="002"/>
    <s v="1 S/D 5"/>
    <n v="5"/>
    <d v="2023-07-10T00:00:00"/>
    <d v="2023-07-12T00:00:00"/>
    <s v="Closed"/>
    <n v="5"/>
    <n v="0"/>
    <s v="Mr. Koko"/>
    <x v="61"/>
    <s v="SPECIAL PASS OK"/>
    <m/>
  </r>
  <r>
    <n v="44"/>
    <x v="13"/>
    <x v="0"/>
    <s v="sedang"/>
    <x v="0"/>
    <s v="2PEW"/>
    <x v="0"/>
    <n v="0.8"/>
    <s v="MELCO"/>
    <s v="App Powder. Parafin"/>
    <x v="2"/>
    <s v="Fp"/>
    <m/>
    <s v="11A3711"/>
    <s v="002"/>
    <s v="1.4.5"/>
    <n v="3"/>
    <d v="2023-07-13T00:00:00"/>
    <d v="2023-07-17T00:00:00"/>
    <s v="Closed"/>
    <n v="3"/>
    <n v="0"/>
    <s v="Mr. Koko"/>
    <x v="61"/>
    <s v="SPECIAL PASS OK"/>
    <m/>
  </r>
  <r>
    <n v="45"/>
    <x v="13"/>
    <x v="0"/>
    <s v="sedang"/>
    <x v="0"/>
    <s v="2PEW"/>
    <x v="0"/>
    <n v="0.8"/>
    <s v="MELCO"/>
    <s v="Powder &amp; Scratch"/>
    <x v="2"/>
    <s v="Fp"/>
    <m/>
    <s v="11A3711"/>
    <s v="001"/>
    <s v="3 &amp; 5"/>
    <n v="2"/>
    <d v="2023-07-11T00:00:00"/>
    <d v="2023-07-17T00:00:00"/>
    <s v="Closed"/>
    <n v="2"/>
    <n v="0"/>
    <s v="Mr. Koko"/>
    <x v="61"/>
    <s v="SPECIAL PASS OK"/>
    <m/>
  </r>
  <r>
    <n v="46"/>
    <x v="13"/>
    <x v="0"/>
    <s v="sedang"/>
    <x v="0"/>
    <s v="2PEW"/>
    <x v="1"/>
    <n v="0.8"/>
    <s v="MELCO"/>
    <s v="Laser Micro Alarm"/>
    <x v="2"/>
    <m/>
    <m/>
    <s v="11A3707"/>
    <s v="006"/>
    <s v="3"/>
    <n v="1"/>
    <d v="2023-07-24T00:00:00"/>
    <d v="2023-07-25T00:00:00"/>
    <s v="Closed"/>
    <n v="1"/>
    <n v="0"/>
    <s v="Mr. Koko"/>
    <x v="61"/>
    <s v="SPECIAL PASS OK"/>
    <m/>
  </r>
  <r>
    <n v="47"/>
    <x v="13"/>
    <x v="0"/>
    <s v="sedang"/>
    <x v="23"/>
    <s v="D1-PEW-B-2T"/>
    <x v="0"/>
    <n v="0.56000000000000005"/>
    <s v="DMIA"/>
    <s v="App Sure"/>
    <x v="2"/>
    <s v="Rotary Dies Inline &amp; Centering F. Dies Cn 4.5"/>
    <m/>
    <s v="VOA3717"/>
    <s v="002 / 003"/>
    <s v="4.5 / 4.5"/>
    <n v="4"/>
    <d v="2023-07-18T00:00:00"/>
    <d v="2023-07-25T00:00:00"/>
    <s v="Closed"/>
    <n v="0"/>
    <n v="4"/>
    <s v="Mr. Koko"/>
    <x v="61"/>
    <s v="PRODUCT DISCRAPE"/>
    <m/>
  </r>
  <r>
    <n v="48"/>
    <x v="13"/>
    <x v="0"/>
    <s v="sedang"/>
    <x v="11"/>
    <s v="2EIWAD-O"/>
    <x v="0"/>
    <n v="1.81"/>
    <s v="MEAA-OH"/>
    <s v="CP-500 Penyok"/>
    <x v="2"/>
    <s v="Spool Change &amp; Adjust Turn Table"/>
    <m/>
    <s v="12A3717"/>
    <s v="001"/>
    <s v="4"/>
    <n v="1"/>
    <d v="2023-07-17T00:00:00"/>
    <d v="2023-07-25T00:00:00"/>
    <s v="Closed"/>
    <n v="1"/>
    <n v="0"/>
    <s v="Mr. Koko"/>
    <x v="61"/>
    <s v="SPECIAL PASS OK"/>
    <m/>
  </r>
  <r>
    <n v="49"/>
    <x v="13"/>
    <x v="0"/>
    <s v="sedang"/>
    <x v="0"/>
    <s v="2PEW"/>
    <x v="1"/>
    <n v="0.8"/>
    <s v="MELCO"/>
    <s v="Laser Micro Alarm"/>
    <x v="2"/>
    <m/>
    <m/>
    <s v="11A3708"/>
    <s v="005"/>
    <s v="3"/>
    <n v="1"/>
    <d v="2023-07-08T00:00:00"/>
    <d v="2023-07-25T00:00:00"/>
    <s v="Closed"/>
    <n v="1"/>
    <n v="0"/>
    <s v="Mr. Koko"/>
    <x v="61"/>
    <s v="SPECIAL PASS OK"/>
    <m/>
  </r>
  <r>
    <n v="50"/>
    <x v="13"/>
    <x v="0"/>
    <s v="sedang"/>
    <x v="11"/>
    <s v="2EIWAD-O"/>
    <x v="0"/>
    <n v="1.81"/>
    <s v="MEAA-OH"/>
    <s v="OD Big"/>
    <x v="2"/>
    <s v="Adjust WS T/U Capstand Cn 3"/>
    <m/>
    <s v="12A3724"/>
    <s v="001"/>
    <s v="3"/>
    <n v="1"/>
    <d v="2023-07-26T00:00:00"/>
    <d v="2023-07-26T00:00:00"/>
    <s v="Closed"/>
    <n v="1"/>
    <n v="0"/>
    <s v="Mr. Koko"/>
    <x v="61"/>
    <s v="SPECIAL PASS OK"/>
    <m/>
  </r>
  <r>
    <n v="1"/>
    <x v="13"/>
    <x v="0"/>
    <s v="sedang"/>
    <x v="17"/>
    <s v="D2IDW4-B-2"/>
    <x v="0"/>
    <n v="0.6"/>
    <s v="DMIA"/>
    <s v="OD Besar"/>
    <x v="2"/>
    <s v="Adjust Slidak"/>
    <m/>
    <s v="V4B3724"/>
    <s v="001"/>
    <s v="8"/>
    <n v="1"/>
    <d v="2023-07-26T00:00:00"/>
    <d v="2023-07-26T00:00:00"/>
    <s v="Closed"/>
    <n v="1"/>
    <n v="0"/>
    <s v="Mr. Koko"/>
    <x v="61"/>
    <s v="SPECIAL PASS OK"/>
    <m/>
  </r>
  <r>
    <n v="2"/>
    <x v="13"/>
    <x v="0"/>
    <s v="sedang"/>
    <x v="17"/>
    <s v="D2IDW-4-B-2 "/>
    <x v="1"/>
    <n v="0.44"/>
    <s v="DMIA"/>
    <s v="WS Down 2%"/>
    <x v="2"/>
    <s v="Sample Ulang, Re Start-Up"/>
    <m/>
    <s v="V4B3722"/>
    <s v="001"/>
    <s v="1 S/D 10"/>
    <n v="10"/>
    <d v="2023-07-23T00:00:00"/>
    <d v="2023-07-27T00:00:00"/>
    <s v="Closed"/>
    <n v="10"/>
    <n v="0"/>
    <s v="Mr. Koko"/>
    <x v="61"/>
    <s v="SPECIAL PASS OK"/>
    <m/>
  </r>
  <r>
    <n v="3"/>
    <x v="13"/>
    <x v="0"/>
    <s v="sedang"/>
    <x v="11"/>
    <s v="2EIWAD-O"/>
    <x v="1"/>
    <n v="1.81"/>
    <s v="MEAA-OH"/>
    <s v="Speed Capstand Naik Sendiri"/>
    <x v="2"/>
    <s v="Repair By MTN"/>
    <m/>
    <s v="12A3723"/>
    <s v="001"/>
    <s v="2"/>
    <n v="1"/>
    <d v="2023-07-23T00:00:00"/>
    <d v="2023-07-25T00:00:00"/>
    <s v="Closed"/>
    <n v="1"/>
    <n v="0"/>
    <s v="Mr. Koko"/>
    <x v="61"/>
    <s v="SPECIAL PASS OK"/>
    <m/>
  </r>
  <r>
    <n v="1"/>
    <x v="13"/>
    <x v="0"/>
    <s v="sedang"/>
    <x v="2"/>
    <s v="2EIWAD-O"/>
    <x v="1"/>
    <n v="1.65"/>
    <s v="MEAA-OH"/>
    <s v="Capstand FP-500 Fluktuasi"/>
    <x v="2"/>
    <s v="- Adjust WS Capstand FP-500 ---&gt; Request Untuk Cek Lagi - Spool Change"/>
    <m/>
    <s v="V6B3719"/>
    <s v="001"/>
    <s v="4"/>
    <n v="1"/>
    <d v="2023-07-20T00:00:00"/>
    <d v="2023-07-24T00:00:00"/>
    <s v="Closed"/>
    <n v="1"/>
    <n v="0"/>
    <s v="Mr. Koko"/>
    <x v="61"/>
    <s v="SPECIAL PASS OK"/>
    <m/>
  </r>
  <r>
    <n v="2"/>
    <x v="13"/>
    <x v="0"/>
    <s v="sedang"/>
    <x v="2"/>
    <s v="2EIWAD-O"/>
    <x v="1"/>
    <n v="1.65"/>
    <s v="MEAA-OH"/>
    <s v="Turn Table Pindah Switch"/>
    <x v="2"/>
    <s v="Perbaikan By MTN"/>
    <m/>
    <s v="V6B3719 / 20 / 21"/>
    <s v="001 / 001"/>
    <s v="3"/>
    <n v="3"/>
    <d v="2023-07-21T00:00:00"/>
    <d v="2023-07-24T00:00:00"/>
    <s v="Closed"/>
    <n v="3"/>
    <n v="0"/>
    <s v="Mr. Koko"/>
    <x v="61"/>
    <s v="SPECIAL PASS OK"/>
    <m/>
  </r>
  <r>
    <n v="3"/>
    <x v="13"/>
    <x v="0"/>
    <s v="sedang"/>
    <x v="15"/>
    <s v="2EIWAD"/>
    <x v="0"/>
    <n v="0.7"/>
    <s v="YEID"/>
    <s v="CT Kecil "/>
    <x v="2"/>
    <s v="Adjust Temperature Upper &amp; Catalyst Dinaikkan 10°C"/>
    <m/>
    <s v="V8B3717"/>
    <s v="Start-Up"/>
    <s v="1 S/D 3"/>
    <n v="3"/>
    <d v="2023-07-17T00:00:00"/>
    <d v="2023-07-21T00:00:00"/>
    <s v="Closed"/>
    <n v="3"/>
    <n v="0"/>
    <s v="Mr. Koko"/>
    <x v="61"/>
    <s v="SPECIAL PASS OK"/>
    <m/>
  </r>
  <r>
    <n v="4"/>
    <x v="13"/>
    <x v="0"/>
    <s v="sedang"/>
    <x v="11"/>
    <s v="2EIWAD-O"/>
    <x v="0"/>
    <n v="1.81"/>
    <s v="MEAA-OH"/>
    <s v="Sure"/>
    <x v="2"/>
    <s v="Siwa Dies Coat &amp; Change Felt"/>
    <m/>
    <s v="12A3719 / 12A3720"/>
    <s v="002 / 001"/>
    <s v="3 / 3"/>
    <n v="2"/>
    <d v="2023-07-20T00:00:00"/>
    <d v="2023-07-24T00:00:00"/>
    <s v="Closed"/>
    <n v="2"/>
    <n v="0"/>
    <s v="Mr. Koko"/>
    <x v="61"/>
    <s v="SPECIAL PASS OK"/>
    <m/>
  </r>
  <r>
    <n v="6"/>
    <x v="13"/>
    <x v="0"/>
    <s v="sedang"/>
    <x v="2"/>
    <s v="2EIWAD-O"/>
    <x v="0"/>
    <n v="1.65"/>
    <s v="MEAA-OH"/>
    <s v="App Mera &amp; SE Small"/>
    <x v="2"/>
    <s v="Fp"/>
    <m/>
    <s v="V6B3720"/>
    <s v="001 / 002"/>
    <s v="1 / 4.5.6"/>
    <n v="4"/>
    <d v="2023-07-24T00:00:00"/>
    <d v="2023-07-24T00:00:00"/>
    <s v="Closed"/>
    <n v="4"/>
    <n v="0"/>
    <s v="Mr. Koko"/>
    <x v="61"/>
    <s v="SPECIAL PASS OK"/>
    <m/>
  </r>
  <r>
    <n v="7"/>
    <x v="13"/>
    <x v="0"/>
    <s v="sedang"/>
    <x v="0"/>
    <s v="D2-IDW-4E"/>
    <x v="1"/>
    <n v="0.83"/>
    <s v="DENSO FAJAR"/>
    <s v="Laser Micro Alarm"/>
    <x v="2"/>
    <s v="Rotary Dies Coating"/>
    <m/>
    <s v="11A3720"/>
    <s v="004"/>
    <s v="5"/>
    <n v="1"/>
    <d v="2023-07-21T00:00:00"/>
    <d v="2023-07-24T00:00:00"/>
    <s v="Closed"/>
    <n v="1"/>
    <n v="0"/>
    <s v="Mr. Koko"/>
    <x v="61"/>
    <s v="SPECIAL PASS OK"/>
    <m/>
  </r>
  <r>
    <n v="8"/>
    <x v="13"/>
    <x v="0"/>
    <s v="sedang"/>
    <x v="0"/>
    <s v="D2-IDW-4E"/>
    <x v="1"/>
    <n v="0.83"/>
    <s v="DENSO FAJAR"/>
    <s v="Laser Micro Alarm"/>
    <x v="2"/>
    <s v="Wire Siwa Dies Coating"/>
    <m/>
    <s v="11A3720"/>
    <s v="002 / 003"/>
    <s v="1"/>
    <n v="2"/>
    <d v="2023-07-20T00:00:00"/>
    <d v="2023-07-24T00:00:00"/>
    <s v="Closed"/>
    <n v="2"/>
    <n v="0"/>
    <s v="Mr. Koko"/>
    <x v="61"/>
    <s v="SPECIAL PASS OK"/>
    <m/>
  </r>
  <r>
    <n v="9"/>
    <x v="13"/>
    <x v="0"/>
    <s v="sedang"/>
    <x v="2"/>
    <s v="2EIWAD-O"/>
    <x v="1"/>
    <n v="1.65"/>
    <s v="MEAA-OH"/>
    <s v="Capstand FP-500 Naik"/>
    <x v="2"/>
    <s v="Repair By MTN"/>
    <m/>
    <s v="V6B3718"/>
    <s v="001"/>
    <s v="4"/>
    <n v="1"/>
    <d v="2023-07-20T00:00:00"/>
    <d v="2023-07-24T00:00:00"/>
    <s v="Closed"/>
    <n v="1"/>
    <n v="0"/>
    <s v="Mr. Koko"/>
    <x v="61"/>
    <s v="SPECIAL PASS OK"/>
    <m/>
  </r>
  <r>
    <n v="10"/>
    <x v="13"/>
    <x v="0"/>
    <s v="sedang"/>
    <x v="9"/>
    <s v="D2IDW4A-1"/>
    <x v="0"/>
    <n v="0.55400000000000005"/>
    <s v="TACI"/>
    <s v="CD Scratch"/>
    <x v="2"/>
    <s v="Rotary Dies Inline"/>
    <m/>
    <s v="VOB3714"/>
    <s v="001"/>
    <s v="2 &amp; 3"/>
    <n v="2"/>
    <d v="2023-07-15T00:00:00"/>
    <d v="2023-07-17T00:00:00"/>
    <s v="Closed"/>
    <n v="2"/>
    <n v="0"/>
    <s v="Mr. Koko"/>
    <x v="61"/>
    <s v="SPECIAL PASS OK"/>
    <s v="CN 2 (NG) CN 3 (Ok)"/>
  </r>
  <r>
    <n v="11"/>
    <x v="13"/>
    <x v="0"/>
    <s v="sedang"/>
    <x v="9"/>
    <s v="D2IDW4A-1"/>
    <x v="0"/>
    <n v="0.55400000000000005"/>
    <s v="TACI"/>
    <s v="Scratch Test NG"/>
    <x v="2"/>
    <s v="Rotary Dies Inline "/>
    <m/>
    <s v="VOB3714"/>
    <s v="002"/>
    <s v="2.3"/>
    <n v="2"/>
    <d v="2023-07-15T00:00:00"/>
    <d v="2023-07-17T00:00:00"/>
    <s v="Closed"/>
    <n v="2"/>
    <n v="0"/>
    <s v="Mr. Koko"/>
    <x v="61"/>
    <s v="SPECIAL PASS OK"/>
    <s v="CN 2 (NG) CN 3 (Ok)"/>
  </r>
  <r>
    <n v="12"/>
    <x v="13"/>
    <x v="0"/>
    <s v="sedang"/>
    <x v="2"/>
    <s v="2EIWAD-O"/>
    <x v="0"/>
    <n v="1.65"/>
    <s v="MEAA-OH"/>
    <s v="OD Kecil"/>
    <x v="72"/>
    <s v="Adjust Tension Winding"/>
    <m/>
    <s v="V6B2X14"/>
    <s v="001"/>
    <s v="4"/>
    <n v="1"/>
    <d v="2022-11-16T00:00:00"/>
    <d v="2022-11-21T00:00:00"/>
    <s v="Closed"/>
    <n v="1"/>
    <n v="0"/>
    <s v="Mr. Koko"/>
    <x v="61"/>
    <s v="SPECIAL PASS OK"/>
    <m/>
  </r>
  <r>
    <n v="13"/>
    <x v="13"/>
    <x v="0"/>
    <s v="sedang"/>
    <x v="2"/>
    <s v="2EIWAD-O"/>
    <x v="0"/>
    <n v="1.65"/>
    <s v="MEAA-OH"/>
    <s v="OD Small"/>
    <x v="2"/>
    <s v="Adjust Tension 19.10 ---&gt; 18.93"/>
    <m/>
    <s v="V6B2X21"/>
    <s v="001"/>
    <s v="4"/>
    <n v="1"/>
    <d v="2022-11-22T00:00:00"/>
    <d v="2022-11-24T00:00:00"/>
    <s v="Closed"/>
    <n v="1"/>
    <n v="0"/>
    <s v="Mr. Koko"/>
    <x v="61"/>
    <s v="SPECIAL PASS OK"/>
    <m/>
  </r>
  <r>
    <n v="14"/>
    <x v="13"/>
    <x v="0"/>
    <s v="sedang"/>
    <x v="1"/>
    <s v="D1-PEW-B-2Y"/>
    <x v="1"/>
    <n v="0.7"/>
    <s v="SEI-ASMO"/>
    <s v="Laser Micro Alarm"/>
    <x v="2"/>
    <s v="Check Pass Line"/>
    <m/>
    <s v="11B3715"/>
    <s v="002"/>
    <s v="2"/>
    <n v="1"/>
    <d v="2023-07-15T00:00:00"/>
    <d v="2023-07-17T00:00:00"/>
    <s v="Closed"/>
    <n v="1"/>
    <n v="0"/>
    <s v="Mr. Koko"/>
    <x v="61"/>
    <s v="SPECIAL PASS OK"/>
    <m/>
  </r>
  <r>
    <n v="15"/>
    <x v="13"/>
    <x v="0"/>
    <s v="sedang"/>
    <x v="1"/>
    <s v="D1-PEW-B-2Y"/>
    <x v="1"/>
    <n v="0.7"/>
    <s v="SEI-ASMO"/>
    <s v="Laser Micro Alarm"/>
    <x v="2"/>
    <s v="Check Pass Line"/>
    <m/>
    <s v="11B3714"/>
    <s v="001 / 003"/>
    <s v="2 / 4"/>
    <n v="2"/>
    <d v="2023-07-14T00:00:00"/>
    <d v="2023-07-17T00:00:00"/>
    <s v="Closed"/>
    <n v="2"/>
    <n v="0"/>
    <s v="Mr. Koko"/>
    <x v="61"/>
    <s v="SPECIAL PASS OK"/>
    <m/>
  </r>
  <r>
    <n v="16"/>
    <x v="13"/>
    <x v="0"/>
    <s v="sedang"/>
    <x v="11"/>
    <s v="2EIWAD-O"/>
    <x v="0"/>
    <n v="1.81"/>
    <s v="MEAA-OH"/>
    <s v="App Blister"/>
    <x v="2"/>
    <s v="Produk RS"/>
    <m/>
    <s v="12A3711"/>
    <s v="001"/>
    <s v="4"/>
    <n v="1"/>
    <d v="2023-07-12T00:00:00"/>
    <d v="2023-07-17T00:00:00"/>
    <s v="Closed"/>
    <n v="1"/>
    <n v="0"/>
    <s v="Mr. Koko"/>
    <x v="61"/>
    <s v="SPECIAL PASS OK"/>
    <m/>
  </r>
  <r>
    <n v="17"/>
    <x v="13"/>
    <x v="0"/>
    <s v="sedang"/>
    <x v="11"/>
    <s v="2EIWAD-O"/>
    <x v="1"/>
    <n v="1.81"/>
    <s v="MEAA-OH"/>
    <s v="Capstand Speed Fluktuasi"/>
    <x v="2"/>
    <s v="Diset Ulang"/>
    <m/>
    <s v="12A3722"/>
    <s v="002"/>
    <s v="4"/>
    <n v="1"/>
    <d v="2023-07-23T00:00:00"/>
    <d v="2023-07-25T00:00:00"/>
    <s v="Closed"/>
    <n v="1"/>
    <n v="0"/>
    <s v="Mr. Koko"/>
    <x v="61"/>
    <s v="SPECIAL PASS OK"/>
    <m/>
  </r>
  <r>
    <n v="18"/>
    <x v="13"/>
    <x v="1"/>
    <s v="sedang"/>
    <x v="14"/>
    <s v="D2-IDW-2-2"/>
    <x v="0"/>
    <n v="0.31"/>
    <s v="DMIA"/>
    <s v="ECC Big"/>
    <x v="73"/>
    <s v="Ganti Dies Coating ---&gt; 1.25"/>
    <m/>
    <s v="H2A3703"/>
    <s v="001"/>
    <s v="2"/>
    <n v="1"/>
    <d v="2023-07-03T00:00:00"/>
    <d v="2023-07-11T00:00:00"/>
    <s v="Closed"/>
    <n v="1"/>
    <n v="0"/>
    <s v="Mr. Koko"/>
    <x v="61"/>
    <s v="SPECIAL PASS OK"/>
    <m/>
  </r>
  <r>
    <n v="19"/>
    <x v="13"/>
    <x v="1"/>
    <s v="sedang"/>
    <x v="14"/>
    <s v="D2-IDW-2-2"/>
    <x v="0"/>
    <n v="0.31"/>
    <s v="DMIA"/>
    <s v="DF Big &amp; ECC Big"/>
    <x v="68"/>
    <s v="Temperature Oven Dinaikkan 10°C"/>
    <m/>
    <s v="H2A3702"/>
    <s v="001"/>
    <s v="1 / 2"/>
    <n v="2"/>
    <d v="2023-07-03T00:00:00"/>
    <d v="2023-07-05T00:00:00"/>
    <s v="Closed"/>
    <n v="2"/>
    <n v="0"/>
    <s v="Mr. Koko"/>
    <x v="61"/>
    <s v="SPECIAL PASS OK"/>
    <m/>
  </r>
  <r>
    <n v="20"/>
    <x v="13"/>
    <x v="1"/>
    <s v="sedang"/>
    <x v="2"/>
    <s v="2EIWAD-O"/>
    <x v="0"/>
    <n v="1.65"/>
    <s v="MEAA-OH"/>
    <s v="OD Small"/>
    <x v="2"/>
    <s v="Adjust Tension 19.10 ---&gt; 18.93"/>
    <m/>
    <s v="V6B2X21"/>
    <s v="001"/>
    <s v="4"/>
    <n v="1"/>
    <d v="2022-11-22T00:00:00"/>
    <d v="2022-11-24T00:00:00"/>
    <s v="Closed"/>
    <n v="1"/>
    <n v="0"/>
    <s v="Mr. Koko"/>
    <x v="61"/>
    <s v="SPECIAL PASS OK"/>
    <m/>
  </r>
  <r>
    <n v="21"/>
    <x v="13"/>
    <x v="1"/>
    <s v="sedang"/>
    <x v="14"/>
    <s v="D2-IDW-2-2"/>
    <x v="0"/>
    <n v="0.31"/>
    <s v="DMIA"/>
    <s v="DF Big &amp; ECC Big"/>
    <x v="68"/>
    <s v="Spool Change Saja"/>
    <m/>
    <s v="H2A3701"/>
    <s v="001 / 002"/>
    <s v="1.2.3.4.5 / 4"/>
    <n v="6"/>
    <d v="2023-07-01T00:00:00"/>
    <d v="2023-07-05T00:00:00"/>
    <s v="Closed"/>
    <n v="6"/>
    <n v="0"/>
    <s v="Mr. Koko"/>
    <x v="61"/>
    <s v="SPECIAL PASS OK"/>
    <m/>
  </r>
  <r>
    <n v="22"/>
    <x v="13"/>
    <x v="1"/>
    <s v="sedang"/>
    <x v="14"/>
    <s v="D2-IDW-2-2"/>
    <x v="0"/>
    <n v="0.31"/>
    <s v="DMIA"/>
    <s v="DF Big"/>
    <x v="68"/>
    <s v="Temperature Oven Dinaikkan 10°C"/>
    <m/>
    <s v="H2A3702"/>
    <s v="001"/>
    <s v="3"/>
    <n v="1"/>
    <d v="2023-07-03T00:00:00"/>
    <d v="2023-07-05T00:00:00"/>
    <s v="Closed"/>
    <n v="1"/>
    <n v="0"/>
    <s v="Mr. Koko"/>
    <x v="61"/>
    <s v="SPECIAL PASS OK"/>
    <m/>
  </r>
  <r>
    <n v="23"/>
    <x v="13"/>
    <x v="1"/>
    <s v="sedang"/>
    <x v="18"/>
    <s v="D2IDW4-B-2"/>
    <x v="0"/>
    <n v="0.26"/>
    <s v="SEI-ASMO"/>
    <s v="DF Big"/>
    <x v="2"/>
    <s v="Cek Produk Tanggal 30/07 3Reel Hasil Ok"/>
    <m/>
    <s v="H1B3729"/>
    <s v="001 / 002"/>
    <s v="1.2.3.4.5 / 1.3.4"/>
    <n v="8"/>
    <d v="2023-07-30T00:00:00"/>
    <d v="2023-07-31T00:00:00"/>
    <s v="Closed"/>
    <n v="8"/>
    <n v="0"/>
    <s v="Mr. Koko"/>
    <x v="61"/>
    <s v="SPECIAL PASS OK"/>
    <m/>
  </r>
  <r>
    <n v="24"/>
    <x v="13"/>
    <x v="1"/>
    <s v="sedang"/>
    <x v="14"/>
    <s v="D2IDW4-B-2"/>
    <x v="0"/>
    <n v="0.26"/>
    <s v="DMIA"/>
    <s v="ECC Moulding Big"/>
    <x v="2"/>
    <s v="Centering Separator Sheave"/>
    <m/>
    <s v="H2A3725"/>
    <s v="Start-Up"/>
    <s v="3.5"/>
    <n v="2"/>
    <d v="2023-07-26T00:00:00"/>
    <d v="2023-07-28T00:00:00"/>
    <s v="Closed"/>
    <n v="2"/>
    <n v="0"/>
    <s v="Mr. Koko"/>
    <x v="61"/>
    <s v="SPECIAL PASS OK"/>
    <m/>
  </r>
  <r>
    <n v="25"/>
    <x v="13"/>
    <x v="1"/>
    <s v="sedang"/>
    <x v="2"/>
    <s v="2EIWAD-O"/>
    <x v="0"/>
    <n v="1.65"/>
    <s v="MEAA-OH"/>
    <s v="SE Small"/>
    <x v="74"/>
    <s v="Adjust Tension Winding"/>
    <m/>
    <s v="V6B2X14"/>
    <s v="001"/>
    <s v="2"/>
    <n v="1"/>
    <d v="2022-11-16T00:00:00"/>
    <d v="2022-11-22T00:00:00"/>
    <s v="Closed"/>
    <n v="0"/>
    <n v="1"/>
    <s v="Mr. Koko"/>
    <x v="61"/>
    <s v="PRODUCT DISCRAPE"/>
    <m/>
  </r>
  <r>
    <n v="26"/>
    <x v="13"/>
    <x v="1"/>
    <s v="sedang"/>
    <x v="26"/>
    <s v="2-ATZ-300"/>
    <x v="1"/>
    <n v="0.35"/>
    <s v="TOYO DENSO"/>
    <s v="Over Weight 1kg"/>
    <x v="75"/>
    <s v="Re Program Lagi Oleh MCH"/>
    <m/>
    <s v="H4B3718"/>
    <s v="001 S/D 004"/>
    <s v="1"/>
    <n v="4"/>
    <d v="2023-07-27T00:00:00"/>
    <d v="2023-07-28T00:00:00"/>
    <s v="Closed"/>
    <n v="4"/>
    <n v="0"/>
    <s v="Mr. Koko"/>
    <x v="61"/>
    <s v="SPECIAL PASS OK"/>
    <m/>
  </r>
  <r>
    <n v="27"/>
    <x v="13"/>
    <x v="1"/>
    <s v="sedang"/>
    <x v="26"/>
    <s v="2-ATZ-300"/>
    <x v="1"/>
    <n v="0.35"/>
    <s v="TOYO DENSO"/>
    <s v="Over Weight 1kg"/>
    <x v="75"/>
    <s v="Re Program Lagi Oleh MCH"/>
    <m/>
    <s v="H4B3721"/>
    <s v="001 S/D 010"/>
    <s v="1"/>
    <n v="10"/>
    <d v="2023-07-26T00:00:00"/>
    <d v="2023-07-28T00:00:00"/>
    <s v="Closed"/>
    <n v="10"/>
    <n v="0"/>
    <s v="Mr. Koko"/>
    <x v="61"/>
    <s v="SPECIAL PASS OK"/>
    <m/>
  </r>
  <r>
    <n v="28"/>
    <x v="13"/>
    <x v="1"/>
    <s v="sedang"/>
    <x v="26"/>
    <s v="2-ATZ-300"/>
    <x v="1"/>
    <n v="0.35"/>
    <s v="TOYO DENSO"/>
    <s v="Over Weight 1kg"/>
    <x v="75"/>
    <s v="Re Program Lagi Oleh MCH"/>
    <m/>
    <s v="H4B3719"/>
    <s v="001 S/D 009"/>
    <s v="1"/>
    <n v="9"/>
    <d v="2023-07-28T00:00:00"/>
    <d v="2023-07-28T00:00:00"/>
    <s v="Closed"/>
    <n v="9"/>
    <n v="0"/>
    <s v="Mr. Koko"/>
    <x v="61"/>
    <s v="SPECIAL PASS OK"/>
    <m/>
  </r>
  <r>
    <n v="28"/>
    <x v="13"/>
    <x v="1"/>
    <s v="sedang"/>
    <x v="26"/>
    <s v="2-ATZ-300"/>
    <x v="1"/>
    <n v="0.35"/>
    <s v="TOYO DENSO"/>
    <s v="Over Weight 1kg"/>
    <x v="75"/>
    <s v="Re Program Lagi Oleh MCH"/>
    <m/>
    <s v="H4B3720"/>
    <s v="001 S/D 009"/>
    <s v="1"/>
    <n v="9"/>
    <d v="2023-07-26T00:00:00"/>
    <d v="2023-07-28T00:00:00"/>
    <s v="Closed"/>
    <n v="9"/>
    <n v="0"/>
    <s v="Mr. Koko"/>
    <x v="61"/>
    <s v="SPECIAL PASS OK"/>
    <m/>
  </r>
  <r>
    <m/>
    <x v="13"/>
    <x v="1"/>
    <s v="sedang"/>
    <x v="22"/>
    <s v="D2IDW4-B-2"/>
    <x v="0"/>
    <n v="0.26"/>
    <s v="SEI-ASMO"/>
    <s v="ECC Moulding Big / Scratch"/>
    <x v="2"/>
    <s v="Cn 1 Ganti FD &amp; Semua Dies Coating. Cn 3 Ganti Dies"/>
    <m/>
    <s v="H2B3703"/>
    <s v="Start Up"/>
    <s v="1.3"/>
    <n v="2"/>
    <d v="2023-07-04T00:00:00"/>
    <d v="2023-08-09T00:00:00"/>
    <s v="Closed"/>
    <n v="2"/>
    <n v="0"/>
    <s v="Mr. Koko"/>
    <x v="61"/>
    <s v="SPECIAL PASS OK"/>
    <m/>
  </r>
  <r>
    <m/>
    <x v="13"/>
    <x v="1"/>
    <s v="sedang"/>
    <x v="18"/>
    <s v="D2IDW4-B-2"/>
    <x v="0"/>
    <n v="0.26"/>
    <s v="SEI-ASMO"/>
    <s v="Under Weight"/>
    <x v="2"/>
    <m/>
    <m/>
    <s v="H1B3726 / H1B3731"/>
    <s v="001 / 001"/>
    <s v="5 / 4"/>
    <n v="2"/>
    <d v="2023-08-04T00:00:00"/>
    <d v="2023-08-09T00:00:00"/>
    <s v="Closed"/>
    <n v="2"/>
    <n v="0"/>
    <s v="Mr. Koko"/>
    <x v="61"/>
    <s v="SPECIAL PASS OK"/>
    <m/>
  </r>
  <r>
    <m/>
    <x v="13"/>
    <x v="1"/>
    <s v="sedang"/>
    <x v="14"/>
    <s v="2AIW"/>
    <x v="0"/>
    <n v="0.37"/>
    <s v="MAPI"/>
    <s v="DF Small"/>
    <x v="76"/>
    <s v="Temperature Oven Dikurangi 10°C"/>
    <m/>
    <s v="H2A3707"/>
    <s v="001"/>
    <s v="1 S/D 5"/>
    <n v="5"/>
    <d v="2023-07-07T00:00:00"/>
    <d v="2023-08-14T00:00:00"/>
    <s v="Closed"/>
    <n v="5"/>
    <n v="0"/>
    <s v="Mr. Koko"/>
    <x v="61"/>
    <s v="SPECIAL PASS OK"/>
    <m/>
  </r>
  <r>
    <m/>
    <x v="13"/>
    <x v="1"/>
    <s v="sedang"/>
    <x v="14"/>
    <s v="D2IDW4-B-2"/>
    <x v="1"/>
    <n v="0.26"/>
    <s v="DMIA"/>
    <s v="Mc Inline Off"/>
    <x v="77"/>
    <s v="- Produk RS - Change Gear Box Inline Drawing"/>
    <m/>
    <s v="H2A3730"/>
    <s v="001 / 002"/>
    <s v="1.2 / 3.4"/>
    <n v="4"/>
    <d v="2023-07-30T00:00:00"/>
    <d v="2023-08-16T00:00:00"/>
    <s v="Closed"/>
    <n v="4"/>
    <n v="0"/>
    <s v="Mr. Koko"/>
    <x v="61"/>
    <s v="SPECIAL PASS OK"/>
    <m/>
  </r>
  <r>
    <m/>
    <x v="13"/>
    <x v="1"/>
    <s v="sedang"/>
    <x v="19"/>
    <s v="2AIW"/>
    <x v="1"/>
    <n v="0.16"/>
    <s v="HITACHI ASTEMO"/>
    <s v="Temperature Supply Air Heater Kecil 100°C"/>
    <x v="78"/>
    <s v="Remove Surface &amp; Change Box Temperature Controller"/>
    <m/>
    <s v="H763719"/>
    <s v="002"/>
    <s v="1 S/D 14"/>
    <n v="14"/>
    <d v="2023-07-20T00:00:00"/>
    <d v="2023-08-16T00:00:00"/>
    <s v="Closed"/>
    <n v="14"/>
    <n v="0"/>
    <s v="Mr. Koko"/>
    <x v="61"/>
    <s v="SPECIAL PASS OK"/>
    <m/>
  </r>
  <r>
    <m/>
    <x v="13"/>
    <x v="1"/>
    <s v="sedang"/>
    <x v="22"/>
    <s v="D2IDW4-B-2"/>
    <x v="1"/>
    <n v="0.26"/>
    <s v="SEI-ASMO"/>
    <s v="Salah Varnish"/>
    <x v="79"/>
    <s v="Takeout Old Varnish "/>
    <m/>
    <s v="H2B3707"/>
    <s v="001"/>
    <s v="1.2.4.5"/>
    <n v="4"/>
    <d v="2023-07-07T00:00:00"/>
    <d v="2023-08-16T00:00:00"/>
    <s v="Closed"/>
    <n v="4"/>
    <n v="0"/>
    <s v="Mr. Koko"/>
    <x v="61"/>
    <s v="SPECIAL PASS OK"/>
    <m/>
  </r>
  <r>
    <m/>
    <x v="14"/>
    <x v="0"/>
    <s v="sedang"/>
    <x v="7"/>
    <s v="D2DSW2"/>
    <x v="1"/>
    <n v="0.5"/>
    <s v="HAMADEN"/>
    <s v="Speed Display T/U Capstand Kecil"/>
    <x v="2"/>
    <s v="Speed T/U Capstand Cek Aktual Pakai Termometer Speed Normal"/>
    <m/>
    <s v="V4A3808"/>
    <s v="001"/>
    <s v="1 S/D 10"/>
    <n v="10"/>
    <d v="2023-08-09T00:00:00"/>
    <d v="2023-08-22T00:00:00"/>
    <s v="Closed"/>
    <n v="10"/>
    <n v="0"/>
    <s v="Mr. Koko"/>
    <x v="61"/>
    <s v="SPECIAL PASS OK"/>
    <m/>
  </r>
  <r>
    <m/>
    <x v="14"/>
    <x v="0"/>
    <s v="sedang"/>
    <x v="7"/>
    <s v="D2DSW2"/>
    <x v="0"/>
    <n v="0.5"/>
    <s v="HAMADEN"/>
    <s v="Blister"/>
    <x v="80"/>
    <s v="Upper Sheave Dilockup No. 3.4.6"/>
    <m/>
    <s v="V4A3817"/>
    <s v="002"/>
    <s v="1.2"/>
    <n v="2"/>
    <d v="2023-08-18T00:00:00"/>
    <d v="2023-08-23T00:00:00"/>
    <s v="Closed"/>
    <n v="2"/>
    <n v="0"/>
    <s v="Mr. Koko"/>
    <x v="61"/>
    <s v="SPECIAL PASS OK"/>
    <m/>
  </r>
  <r>
    <m/>
    <x v="14"/>
    <x v="0"/>
    <s v="sedang"/>
    <x v="11"/>
    <s v="2EIWAD-O"/>
    <x v="0"/>
    <n v="1.81"/>
    <s v="META"/>
    <s v="OD Big"/>
    <x v="2"/>
    <m/>
    <m/>
    <s v="12A3816"/>
    <s v="001"/>
    <s v="1"/>
    <n v="1"/>
    <d v="2023-08-17T00:00:00"/>
    <d v="2023-08-23T00:00:00"/>
    <s v="Closed"/>
    <n v="1"/>
    <n v="0"/>
    <s v="Mr. Koko"/>
    <x v="61"/>
    <s v="SPECIAL PASS OK"/>
    <m/>
  </r>
  <r>
    <m/>
    <x v="14"/>
    <x v="0"/>
    <s v="sedang"/>
    <x v="3"/>
    <s v="1PEW"/>
    <x v="0"/>
    <n v="2"/>
    <s v="SEI-OEM"/>
    <s v="CD Big"/>
    <x v="2"/>
    <m/>
    <m/>
    <s v="V8A3818"/>
    <s v="001"/>
    <s v="1"/>
    <n v="1"/>
    <d v="2023-08-18T00:00:00"/>
    <d v="2023-08-23T00:00:00"/>
    <s v="Closed"/>
    <n v="1"/>
    <n v="0"/>
    <s v="Mr. Koko"/>
    <x v="61"/>
    <s v="SPECIAL PASS OK"/>
    <m/>
  </r>
  <r>
    <m/>
    <x v="14"/>
    <x v="0"/>
    <s v="sedang"/>
    <x v="17"/>
    <s v="D2IDW-4-B-2"/>
    <x v="0"/>
    <n v="0.44"/>
    <s v="DMIA"/>
    <s v="Qty Horiba Kecil"/>
    <x v="2"/>
    <s v="Tambah Level Oil SPB"/>
    <m/>
    <s v="V4B3819"/>
    <s v="001"/>
    <s v="1 S/D 10"/>
    <n v="10"/>
    <d v="2023-08-21T00:00:00"/>
    <d v="2023-08-23T00:00:00"/>
    <s v="Closed"/>
    <n v="10"/>
    <n v="0"/>
    <s v="Mr. Koko"/>
    <x v="61"/>
    <s v="SPECIAL PASS OK"/>
    <m/>
  </r>
  <r>
    <m/>
    <x v="14"/>
    <x v="0"/>
    <s v="sedang"/>
    <x v="23"/>
    <s v="D1-PEW-B-2T"/>
    <x v="1"/>
    <n v="0.5"/>
    <s v="DMIA"/>
    <s v="Wire Break"/>
    <x v="2"/>
    <m/>
    <m/>
    <s v="VOA3829"/>
    <s v="001"/>
    <s v="1 S/D 5"/>
    <n v="5"/>
    <d v="2023-08-29T00:00:00"/>
    <d v="2023-08-31T00:00:00"/>
    <s v="Closed"/>
    <n v="5"/>
    <n v="0"/>
    <s v="Mr. Koko"/>
    <x v="61"/>
    <s v="SPECIAL PASS OK"/>
    <m/>
  </r>
  <r>
    <m/>
    <x v="14"/>
    <x v="0"/>
    <s v="sedang"/>
    <x v="0"/>
    <s v="2PEW"/>
    <x v="1"/>
    <n v="0.85"/>
    <s v="MELCO"/>
    <s v="Alarm Laser Micro"/>
    <x v="2"/>
    <s v="Adjust Setting Size Laser Micro"/>
    <m/>
    <s v="11A3804"/>
    <s v="001"/>
    <s v="4"/>
    <n v="1"/>
    <d v="2023-08-04T00:00:00"/>
    <d v="2023-08-31T00:00:00"/>
    <s v="Closed"/>
    <n v="1"/>
    <n v="0"/>
    <s v="Mr. Koko"/>
    <x v="61"/>
    <s v="SPECIAL PASS OK"/>
    <m/>
  </r>
  <r>
    <m/>
    <x v="14"/>
    <x v="0"/>
    <s v="sedang"/>
    <x v="4"/>
    <s v="D1-IDW-4"/>
    <x v="0"/>
    <n v="1.1499999999999999"/>
    <s v="DENSO "/>
    <s v="DF Big"/>
    <x v="2"/>
    <s v="Adjust Temperature Catalyst Ditambahkan 7°C &amp; Upper Ditambahkan 10°C"/>
    <m/>
    <s v="12B3823"/>
    <s v="006 / 007 / 001"/>
    <s v="1 S/D 5"/>
    <n v="15"/>
    <d v="2023-08-24T00:00:00"/>
    <d v="2023-08-25T00:00:00"/>
    <s v="Closed"/>
    <n v="15"/>
    <n v="0"/>
    <s v="Mr. Koko"/>
    <x v="61"/>
    <s v="SPECIAL PASS OK"/>
    <m/>
  </r>
  <r>
    <m/>
    <x v="14"/>
    <x v="0"/>
    <s v="sedang"/>
    <x v="10"/>
    <s v="0FBWSHC"/>
    <x v="0"/>
    <n v="1.2"/>
    <s v="MITSUBAAA"/>
    <s v="Mera"/>
    <x v="2"/>
    <m/>
    <m/>
    <s v="V9B3823"/>
    <s v="001"/>
    <s v="1 S/D 7"/>
    <n v="7"/>
    <d v="2023-08-23T00:00:00"/>
    <d v="2023-08-25T00:00:00"/>
    <s v="Closed"/>
    <n v="0"/>
    <n v="7"/>
    <s v="Mr. Koko"/>
    <x v="61"/>
    <s v="PRODUCT DISCRAPE"/>
    <m/>
  </r>
  <r>
    <m/>
    <x v="14"/>
    <x v="0"/>
    <s v="sedang"/>
    <x v="16"/>
    <s v="1HGZ-MA"/>
    <x v="1"/>
    <n v="1.18"/>
    <s v="LAMCOR"/>
    <s v="Floating Dies Up"/>
    <x v="2"/>
    <m/>
    <m/>
    <s v="V6A3815"/>
    <s v="004"/>
    <s v="1.2.4"/>
    <n v="3"/>
    <d v="2023-08-15T00:00:00"/>
    <d v="2023-08-25T00:00:00"/>
    <s v="Closed"/>
    <n v="3"/>
    <n v="0"/>
    <s v="Mr. Koko"/>
    <x v="61"/>
    <s v="SPECIAL PASS OK"/>
    <m/>
  </r>
  <r>
    <m/>
    <x v="14"/>
    <x v="0"/>
    <s v="sedang"/>
    <x v="16"/>
    <s v="1HGZ-MA"/>
    <x v="1"/>
    <n v="1.18"/>
    <s v="LAMCOR"/>
    <s v="Floating Dies Up"/>
    <x v="81"/>
    <s v="Siwa Dies Coating No. 1"/>
    <m/>
    <s v="V6A3815"/>
    <s v="005"/>
    <s v="1 &amp; 4"/>
    <n v="2"/>
    <d v="2023-08-16T00:00:00"/>
    <d v="2023-08-25T00:00:00"/>
    <s v="Closed"/>
    <n v="2"/>
    <n v="0"/>
    <s v="Mr. Koko"/>
    <x v="61"/>
    <s v="SPECIAL PASS OK"/>
    <m/>
  </r>
  <r>
    <m/>
    <x v="14"/>
    <x v="0"/>
    <s v="sedang"/>
    <x v="16"/>
    <s v="1HGZ-MA"/>
    <x v="1"/>
    <n v="1.18"/>
    <s v="LAMCOR"/>
    <s v="Floating Dies Up"/>
    <x v="2"/>
    <s v="Spool Scrap Siwa Dies Coating"/>
    <m/>
    <s v="V6A3814"/>
    <s v="004 / 003 "/>
    <s v="1 / 4"/>
    <n v="4"/>
    <d v="2023-08-15T00:00:00"/>
    <d v="2023-08-25T00:00:00"/>
    <s v="Closed"/>
    <n v="4"/>
    <n v="0"/>
    <s v="Mr. Koko"/>
    <x v="61"/>
    <s v="SPECIAL PASS OK"/>
    <m/>
  </r>
  <r>
    <m/>
    <x v="14"/>
    <x v="0"/>
    <s v="sedang"/>
    <x v="16"/>
    <s v="1HGZ-MA"/>
    <x v="1"/>
    <n v="1.18"/>
    <s v="LAMCOR"/>
    <s v="Floating Dies Up"/>
    <x v="14"/>
    <s v="Siwa"/>
    <m/>
    <s v="V6A3820"/>
    <s v="004"/>
    <s v="1"/>
    <n v="1"/>
    <d v="2023-08-21T00:00:00"/>
    <d v="2023-08-25T00:00:00"/>
    <s v="Closed"/>
    <n v="0"/>
    <n v="1"/>
    <s v="Mr. Koko"/>
    <x v="61"/>
    <s v="PRODUCT DISCRAPE"/>
    <m/>
  </r>
  <r>
    <m/>
    <x v="14"/>
    <x v="0"/>
    <s v="sedang"/>
    <x v="2"/>
    <s v="2EIWAD-O"/>
    <x v="1"/>
    <n v="1.65"/>
    <s v="MEAA-OH"/>
    <s v="Fluktuasi"/>
    <x v="2"/>
    <s v="Normal Sendiri"/>
    <m/>
    <s v="V6B3822"/>
    <s v="001"/>
    <s v="1"/>
    <n v="1"/>
    <d v="2023-08-22T00:00:00"/>
    <d v="2023-08-25T00:00:00"/>
    <s v="Closed"/>
    <n v="1"/>
    <n v="0"/>
    <s v="Mr. Koko"/>
    <x v="61"/>
    <s v="SPECIAL PASS OK"/>
    <m/>
  </r>
  <r>
    <m/>
    <x v="14"/>
    <x v="0"/>
    <s v="sedang"/>
    <x v="4"/>
    <s v="1AIW"/>
    <x v="0"/>
    <n v="1.3"/>
    <s v="DVC"/>
    <s v="Blister"/>
    <x v="2"/>
    <s v="Fp"/>
    <m/>
    <s v="12B3814"/>
    <s v="001"/>
    <s v="3"/>
    <n v="1"/>
    <d v="2023-08-15T00:00:00"/>
    <d v="2023-08-23T00:00:00"/>
    <s v="Closed"/>
    <n v="1"/>
    <n v="0"/>
    <s v="Mr. Koko"/>
    <x v="61"/>
    <s v="SPECIAL PASS OK"/>
    <m/>
  </r>
  <r>
    <m/>
    <x v="14"/>
    <x v="0"/>
    <s v="sedang"/>
    <x v="17"/>
    <s v="D2IDW-4B2Y"/>
    <x v="0"/>
    <n v="0.4"/>
    <s v="DMIA"/>
    <s v="OD Small"/>
    <x v="2"/>
    <s v="Adjust Tension Slidak"/>
    <m/>
    <s v="V4B3823"/>
    <s v="001"/>
    <s v="1.8"/>
    <n v="2"/>
    <d v="2023-08-24T00:00:00"/>
    <d v="2023-08-29T00:00:00"/>
    <s v="Closed"/>
    <n v="2"/>
    <n v="0"/>
    <s v="Mr. Koko"/>
    <x v="61"/>
    <s v="SPECIAL PASS OK"/>
    <m/>
  </r>
  <r>
    <m/>
    <x v="14"/>
    <x v="0"/>
    <s v="sedang"/>
    <x v="4"/>
    <s v="1AIW"/>
    <x v="0"/>
    <n v="1.3"/>
    <s v="DVC"/>
    <s v="Hanten"/>
    <x v="2"/>
    <s v="- Siwa Dies Coating - Rotary Inline Dies - Cleaning Press Roll"/>
    <m/>
    <s v="12B3811"/>
    <s v="001"/>
    <s v="1.4"/>
    <n v="2"/>
    <d v="2023-08-11T00:00:00"/>
    <d v="2023-08-16T00:00:00"/>
    <s v="Closed"/>
    <n v="2"/>
    <n v="0"/>
    <s v="Mr. Koko"/>
    <x v="61"/>
    <s v="SPECIAL PASS OK"/>
    <m/>
  </r>
  <r>
    <m/>
    <x v="14"/>
    <x v="0"/>
    <s v="sedang"/>
    <x v="6"/>
    <s v="D2DSW2"/>
    <x v="0"/>
    <n v="0.5"/>
    <s v="HAMADEN"/>
    <s v="Rolling CD Scratch"/>
    <x v="2"/>
    <m/>
    <m/>
    <s v="V8D3804"/>
    <s v="001"/>
    <s v="3"/>
    <n v="1"/>
    <d v="2023-08-05T00:00:00"/>
    <d v="2023-08-16T00:00:00"/>
    <s v="Closed"/>
    <n v="1"/>
    <n v="0"/>
    <s v="Mr. Koko"/>
    <x v="61"/>
    <s v="SPECIAL PASS OK"/>
    <m/>
  </r>
  <r>
    <m/>
    <x v="14"/>
    <x v="0"/>
    <s v="sedang"/>
    <x v="0"/>
    <s v="2PEW"/>
    <x v="0"/>
    <n v="0.8"/>
    <s v="MELCO"/>
    <s v="Grinding Scratch"/>
    <x v="2"/>
    <s v="Fp"/>
    <m/>
    <s v="11A3811"/>
    <s v="001"/>
    <s v="3"/>
    <n v="1"/>
    <d v="2023-08-12T00:00:00"/>
    <d v="2023-08-16T00:00:00"/>
    <s v="Closed"/>
    <n v="1"/>
    <n v="0"/>
    <s v="Mr. Koko"/>
    <x v="61"/>
    <s v="SPECIAL PASS OK"/>
    <m/>
  </r>
  <r>
    <m/>
    <x v="14"/>
    <x v="0"/>
    <s v="sedang"/>
    <x v="1"/>
    <s v="D1-PEW-B-2Y"/>
    <x v="1"/>
    <n v="0.8"/>
    <s v="SEI-ASMO"/>
    <s v="Laser Micro Error"/>
    <x v="2"/>
    <s v="Setting Ulang Size Laser Micro &amp; Cek MCN / Monitor"/>
    <m/>
    <s v="11B3807 / 11B3808"/>
    <s v="003 / 004 / 005 / 001"/>
    <s v="1 S/D 5"/>
    <n v="20"/>
    <d v="2023-08-08T00:00:00"/>
    <d v="2023-08-22T00:00:00"/>
    <s v="Closed"/>
    <n v="20"/>
    <n v="0"/>
    <s v="Mr. Koko"/>
    <x v="61"/>
    <s v="SPECIAL PASS OK"/>
    <m/>
  </r>
  <r>
    <m/>
    <x v="14"/>
    <x v="0"/>
    <s v="sedang"/>
    <x v="4"/>
    <s v="2EIWAD-EPS"/>
    <x v="1"/>
    <n v="1.25"/>
    <s v="MELCO"/>
    <s v="Data Blister &amp; HVCT Tidak Keluar"/>
    <x v="2"/>
    <s v="Produk Diptr"/>
    <m/>
    <s v="12B3805"/>
    <s v="004"/>
    <s v="5"/>
    <n v="1"/>
    <d v="2023-08-09T00:00:00"/>
    <d v="2023-08-16T00:00:00"/>
    <s v="Closed"/>
    <n v="1"/>
    <n v="0"/>
    <s v="Mr. Koko"/>
    <x v="61"/>
    <s v="SPECIAL PASS OK"/>
    <m/>
  </r>
  <r>
    <m/>
    <x v="14"/>
    <x v="0"/>
    <s v="sedang"/>
    <x v="16"/>
    <s v="2EIWAD-P"/>
    <x v="0"/>
    <n v="1.45"/>
    <s v="MEAINA"/>
    <s v="OD CD Big"/>
    <x v="2"/>
    <s v="Fp"/>
    <m/>
    <s v="V6A3811"/>
    <s v="001"/>
    <s v="7"/>
    <n v="1"/>
    <d v="2023-08-12T00:00:00"/>
    <d v="2023-08-16T00:00:00"/>
    <s v="Closed"/>
    <n v="1"/>
    <n v="0"/>
    <s v="Mr. Koko"/>
    <x v="61"/>
    <s v="SPECIAL PASS OK"/>
    <m/>
  </r>
  <r>
    <m/>
    <x v="14"/>
    <x v="0"/>
    <s v="sedang"/>
    <x v="2"/>
    <s v="2EIWAD-O"/>
    <x v="1"/>
    <n v="1.65"/>
    <s v="MEAA-OH"/>
    <s v="WS T/U FP-500 Fluktuasi"/>
    <x v="2"/>
    <s v="Mc Stop"/>
    <m/>
    <s v="V6B3811"/>
    <s v="002"/>
    <s v="4"/>
    <n v="1"/>
    <d v="2023-08-15T00:00:00"/>
    <d v="2023-08-16T00:00:00"/>
    <s v="Closed"/>
    <n v="1"/>
    <n v="0"/>
    <s v="Mr. Koko"/>
    <x v="61"/>
    <s v="SPECIAL PASS OK"/>
    <m/>
  </r>
  <r>
    <m/>
    <x v="14"/>
    <x v="0"/>
    <s v="sedang"/>
    <x v="2"/>
    <s v="2EIWAD-O"/>
    <x v="1"/>
    <n v="1.65"/>
    <s v="MEAA-OH"/>
    <s v="Wire Speed T/U FP-500 Fluktuasi"/>
    <x v="2"/>
    <s v="Mc Stop"/>
    <m/>
    <s v="V6B3810"/>
    <s v="002"/>
    <s v="5.6"/>
    <n v="2"/>
    <d v="2023-08-15T00:00:00"/>
    <d v="2023-08-16T00:00:00"/>
    <s v="Closed"/>
    <n v="2"/>
    <n v="0"/>
    <s v="Mr. Koko"/>
    <x v="61"/>
    <s v="SPECIAL PASS OK"/>
    <m/>
  </r>
  <r>
    <m/>
    <x v="14"/>
    <x v="0"/>
    <s v="sedang"/>
    <x v="7"/>
    <s v="D2DSW2"/>
    <x v="1"/>
    <n v="0.5"/>
    <s v="HAMADEN"/>
    <s v="WS T/U Kecil"/>
    <x v="2"/>
    <s v="Adjust WS T/U Capstand ke WS Normal"/>
    <m/>
    <s v="V4A3806"/>
    <s v="001"/>
    <s v="1 S/D 10"/>
    <n v="10"/>
    <d v="2023-08-07T00:00:00"/>
    <d v="2023-08-11T00:00:00"/>
    <s v="Closed"/>
    <n v="10"/>
    <n v="0"/>
    <s v="Mr. Koko"/>
    <x v="61"/>
    <s v="SPECIAL PASS OK"/>
    <m/>
  </r>
  <r>
    <m/>
    <x v="14"/>
    <x v="0"/>
    <s v="sedang"/>
    <x v="8"/>
    <s v="D1PEW-B-2Y"/>
    <x v="1"/>
    <n v="0.9"/>
    <s v="DMIA"/>
    <s v="Temperature Anneal Error"/>
    <x v="82"/>
    <s v="Cleaning Controller By MTN"/>
    <m/>
    <s v="V9A3808"/>
    <s v="002"/>
    <s v="1 S/D 9"/>
    <n v="9"/>
    <d v="2023-08-09T00:00:00"/>
    <d v="2023-08-11T00:00:00"/>
    <s v="Closed"/>
    <n v="9"/>
    <n v="0"/>
    <s v="Mr. Koko"/>
    <x v="61"/>
    <s v="SPECIAL PASS OK"/>
    <m/>
  </r>
  <r>
    <m/>
    <x v="14"/>
    <x v="0"/>
    <s v="sedang"/>
    <x v="7"/>
    <s v="T3-EIWAD"/>
    <x v="0"/>
    <n v="0.47"/>
    <s v="WIN-A"/>
    <s v="CD Big"/>
    <x v="2"/>
    <s v="Fp"/>
    <m/>
    <s v="V4A3805"/>
    <s v="003"/>
    <s v="1.8"/>
    <n v="2"/>
    <d v="2023-08-06T00:00:00"/>
    <d v="2023-08-09T00:00:00"/>
    <s v="Closed"/>
    <n v="2"/>
    <n v="0"/>
    <s v="Mr. Koko"/>
    <x v="61"/>
    <s v="SPECIAL PASS OK"/>
    <m/>
  </r>
  <r>
    <m/>
    <x v="14"/>
    <x v="0"/>
    <s v="sedang"/>
    <x v="9"/>
    <s v="D2IDW-4-B-2"/>
    <x v="0"/>
    <n v="0.7"/>
    <s v="DMIA"/>
    <s v="Sure"/>
    <x v="2"/>
    <s v="Cek QC Sure Tipis (App OK)"/>
    <m/>
    <s v="VOB3807"/>
    <s v="002"/>
    <s v="1"/>
    <n v="1"/>
    <d v="2023-08-07T00:00:00"/>
    <d v="2023-08-09T00:00:00"/>
    <s v="Closed"/>
    <n v="1"/>
    <n v="0"/>
    <s v="Mr. Koko"/>
    <x v="61"/>
    <s v="SPECIAL PASS OK"/>
    <m/>
  </r>
  <r>
    <m/>
    <x v="14"/>
    <x v="0"/>
    <s v="sedang"/>
    <x v="0"/>
    <s v="2PEW"/>
    <x v="1"/>
    <n v="0.85"/>
    <s v="MELCO"/>
    <s v="Laser Micro Alarm"/>
    <x v="2"/>
    <s v="Adjust Setting Centre Actual"/>
    <m/>
    <s v="11A3802"/>
    <s v="001"/>
    <s v="1"/>
    <n v="1"/>
    <d v="2023-08-02T00:00:00"/>
    <d v="2023-08-04T00:00:00"/>
    <s v="Closed"/>
    <n v="1"/>
    <n v="0"/>
    <s v="Mr. Koko"/>
    <x v="61"/>
    <s v="SPECIAL PASS OK"/>
    <m/>
  </r>
  <r>
    <m/>
    <x v="14"/>
    <x v="0"/>
    <s v="sedang"/>
    <x v="1"/>
    <s v="D1-PEW-B-2Y"/>
    <x v="0"/>
    <n v="0.75"/>
    <s v="SEI-ASMO"/>
    <s v="Sure"/>
    <x v="2"/>
    <s v="Siwa"/>
    <m/>
    <s v="11B3802"/>
    <s v="001 / 002"/>
    <s v="3"/>
    <n v="2"/>
    <d v="2023-08-03T00:00:00"/>
    <d v="2023-08-04T00:00:00"/>
    <s v="Closed"/>
    <n v="2"/>
    <n v="0"/>
    <s v="Mr. Koko"/>
    <x v="61"/>
    <s v="SPECIAL PASS OK"/>
    <m/>
  </r>
  <r>
    <m/>
    <x v="14"/>
    <x v="0"/>
    <s v="sedang"/>
    <x v="17"/>
    <s v="D2IDW-4B2Y"/>
    <x v="0"/>
    <n v="0.4"/>
    <s v="DMIA"/>
    <s v="OD CD  &amp; Thickness Small"/>
    <x v="2"/>
    <s v="Fp"/>
    <m/>
    <s v="V4B3824"/>
    <s v="001"/>
    <s v="2.3.4.6.7.8.9.10"/>
    <n v="8"/>
    <d v="2023-08-25T00:00:00"/>
    <d v="2023-08-29T00:00:00"/>
    <s v="Closed"/>
    <n v="8"/>
    <n v="0"/>
    <s v="Mr. Koko"/>
    <x v="61"/>
    <s v="SPECIAL PASS OK"/>
    <m/>
  </r>
  <r>
    <m/>
    <x v="14"/>
    <x v="0"/>
    <s v="sedang"/>
    <x v="2"/>
    <s v="2EIWAD-O"/>
    <x v="0"/>
    <n v="1.65"/>
    <s v="MEAA-OH"/>
    <s v="OD Small"/>
    <x v="2"/>
    <s v="Next T/U OK"/>
    <m/>
    <s v="V6B3823"/>
    <s v="001"/>
    <s v="2.4"/>
    <n v="2"/>
    <d v="2023-08-25T00:00:00"/>
    <d v="2023-08-29T00:00:00"/>
    <s v="Closed"/>
    <n v="2"/>
    <n v="0"/>
    <s v="Mr. Koko"/>
    <x v="61"/>
    <s v="SPECIAL PASS OK"/>
    <m/>
  </r>
  <r>
    <m/>
    <x v="14"/>
    <x v="0"/>
    <s v="sedang"/>
    <x v="3"/>
    <s v="1PEW"/>
    <x v="0"/>
    <n v="2.2000000000000002"/>
    <s v="SEI-OEM"/>
    <s v="CD Small"/>
    <x v="2"/>
    <m/>
    <m/>
    <s v="V8A3825"/>
    <s v="022"/>
    <s v="1"/>
    <n v="1"/>
    <d v="2023-08-25T00:00:00"/>
    <d v="2023-08-29T00:00:00"/>
    <s v="Closed"/>
    <n v="1"/>
    <n v="0"/>
    <s v="Mr. Koko"/>
    <x v="61"/>
    <s v="SPECIAL PASS OK"/>
    <m/>
  </r>
  <r>
    <m/>
    <x v="14"/>
    <x v="0"/>
    <s v="sedang"/>
    <x v="16"/>
    <s v="1HGZ-MA"/>
    <x v="1"/>
    <n v="1.18"/>
    <s v="LAMCOR"/>
    <s v="Floating Dies Up"/>
    <x v="2"/>
    <m/>
    <m/>
    <s v="V6A3817"/>
    <s v="004"/>
    <s v="4"/>
    <n v="1"/>
    <d v="2023-08-22T00:00:00"/>
    <d v="2023-08-29T00:00:00"/>
    <s v="Closed"/>
    <n v="1"/>
    <n v="0"/>
    <s v="Mr. Koko"/>
    <x v="61"/>
    <s v="SPECIAL PASS OK"/>
    <m/>
  </r>
  <r>
    <m/>
    <x v="14"/>
    <x v="0"/>
    <s v="sedang"/>
    <x v="16"/>
    <s v="1HGZ-MA"/>
    <x v="1"/>
    <n v="1.18"/>
    <s v="LAMCOR"/>
    <s v="Floating Dies Up"/>
    <x v="2"/>
    <m/>
    <m/>
    <s v="V6A3816"/>
    <s v="004"/>
    <s v="4.1"/>
    <n v="2"/>
    <d v="2023-08-22T00:00:00"/>
    <d v="2023-08-29T00:00:00"/>
    <s v="Closed"/>
    <n v="2"/>
    <n v="0"/>
    <s v="Mr. Koko"/>
    <x v="61"/>
    <s v="SPECIAL PASS OK"/>
    <m/>
  </r>
  <r>
    <m/>
    <x v="14"/>
    <x v="0"/>
    <s v="sedang"/>
    <x v="15"/>
    <s v="D2IDW4A-1"/>
    <x v="0"/>
    <n v="0.57999999999999996"/>
    <s v="TACI"/>
    <s v="App Blister"/>
    <x v="2"/>
    <s v="Next T/U Cek Ok"/>
    <m/>
    <s v="V8B3822"/>
    <s v="001"/>
    <s v="2"/>
    <n v="1"/>
    <d v="2023-08-24T00:00:00"/>
    <d v="2023-08-29T00:00:00"/>
    <s v="Closed"/>
    <n v="1"/>
    <n v="0"/>
    <s v="Mr. Koko"/>
    <x v="61"/>
    <s v="SPECIAL PASS OK"/>
    <m/>
  </r>
  <r>
    <m/>
    <x v="14"/>
    <x v="0"/>
    <s v="sedang"/>
    <x v="4"/>
    <s v="1EIWAD-S"/>
    <x v="0"/>
    <n v="1.6"/>
    <s v="MEAINA"/>
    <s v="App NG"/>
    <x v="2"/>
    <s v="Fp"/>
    <m/>
    <s v="12B3826"/>
    <s v="004"/>
    <s v="2.3"/>
    <n v="2"/>
    <d v="2023-08-27T00:00:00"/>
    <d v="2023-08-29T00:00:00"/>
    <s v="Closed"/>
    <n v="2"/>
    <n v="0"/>
    <s v="Mr. Koko"/>
    <x v="61"/>
    <s v="SPECIAL PASS OK"/>
    <m/>
  </r>
  <r>
    <m/>
    <x v="14"/>
    <x v="0"/>
    <s v="sedang"/>
    <x v="4"/>
    <s v="1EIWAD-S"/>
    <x v="0"/>
    <n v="1.6"/>
    <s v="MEAINA"/>
    <s v="Blister"/>
    <x v="2"/>
    <s v="Siwa &amp; Rotary Dies Inline"/>
    <m/>
    <s v="12B3826"/>
    <s v="001"/>
    <s v="2"/>
    <n v="1"/>
    <d v="2023-08-26T00:00:00"/>
    <d v="2023-08-29T00:00:00"/>
    <s v="Closed"/>
    <n v="1"/>
    <n v="0"/>
    <s v="Mr. Koko"/>
    <x v="61"/>
    <s v="SPECIAL PASS OK"/>
    <m/>
  </r>
  <r>
    <m/>
    <x v="14"/>
    <x v="0"/>
    <s v="sedang"/>
    <x v="4"/>
    <s v="1EIWAD-S"/>
    <x v="0"/>
    <n v="1.6"/>
    <s v="MEAINA"/>
    <s v="Blister"/>
    <x v="2"/>
    <s v="Fp"/>
    <m/>
    <s v="12B3826"/>
    <s v="002 / 003"/>
    <s v="2 / 3"/>
    <n v="4"/>
    <d v="2023-08-27T00:00:00"/>
    <d v="2023-08-29T00:00:00"/>
    <s v="Closed"/>
    <n v="4"/>
    <n v="0"/>
    <s v="Mr. Koko"/>
    <x v="61"/>
    <s v="SPECIAL PASS OK"/>
    <m/>
  </r>
  <r>
    <m/>
    <x v="14"/>
    <x v="0"/>
    <s v="sedang"/>
    <x v="0"/>
    <s v="2PEW"/>
    <x v="1"/>
    <n v="0.8"/>
    <s v="MELCO"/>
    <s v="Laser Micro Size Max"/>
    <x v="2"/>
    <s v="Naxt T/U Cek Lase Micro Size Ok "/>
    <m/>
    <s v="11A3813"/>
    <s v="002"/>
    <s v="4"/>
    <n v="1"/>
    <d v="2023-08-14T00:00:00"/>
    <d v="2023-08-31T00:00:00"/>
    <s v="Closed"/>
    <n v="1"/>
    <n v="0"/>
    <s v="Mr. Koko"/>
    <x v="61"/>
    <s v="SPECIAL PASS OK"/>
    <m/>
  </r>
  <r>
    <m/>
    <x v="14"/>
    <x v="0"/>
    <s v="sedang"/>
    <x v="23"/>
    <s v="D1-PEW-B-2T"/>
    <x v="0"/>
    <n v="0.5"/>
    <s v="DMIA"/>
    <s v="CD Small"/>
    <x v="2"/>
    <s v="Cek T/U 003 -001 -002"/>
    <m/>
    <s v="VOA3827"/>
    <s v="002"/>
    <m/>
    <m/>
    <d v="2023-08-28T00:00:00"/>
    <m/>
    <s v="Closed"/>
    <m/>
    <n v="0"/>
    <s v="Mr. Koko"/>
    <x v="61"/>
    <s v="SPECIAL PASS OK"/>
    <m/>
  </r>
  <r>
    <m/>
    <x v="14"/>
    <x v="0"/>
    <s v="sedang"/>
    <x v="11"/>
    <s v="2EWIAD-O"/>
    <x v="1"/>
    <n v="1.81"/>
    <s v="META"/>
    <s v="Fluktuasi Speed Capstand"/>
    <x v="2"/>
    <m/>
    <m/>
    <s v="12A3830"/>
    <s v="001"/>
    <s v="4"/>
    <n v="1"/>
    <d v="2023-08-30T00:00:00"/>
    <d v="2023-08-31T00:00:00"/>
    <s v="Closed"/>
    <n v="1"/>
    <n v="0"/>
    <s v="Mr. Koko"/>
    <x v="61"/>
    <s v="SPECIAL PASS OK"/>
    <m/>
  </r>
  <r>
    <m/>
    <x v="14"/>
    <x v="0"/>
    <s v="sedang"/>
    <x v="2"/>
    <s v="2EWIAD-O"/>
    <x v="1"/>
    <n v="1.65"/>
    <s v="MEAA-OH"/>
    <s v="Speed Capstand FP-500 Fluktuasi"/>
    <x v="2"/>
    <s v="Kurangi / Dicat"/>
    <m/>
    <s v="V6B3821"/>
    <s v="001"/>
    <s v="5"/>
    <n v="1"/>
    <d v="2023-08-22T00:00:00"/>
    <d v="2023-08-31T00:00:00"/>
    <s v="Closed"/>
    <n v="1"/>
    <n v="0"/>
    <s v="Mr. Koko"/>
    <x v="61"/>
    <s v="SPECIAL PASS OK"/>
    <m/>
  </r>
  <r>
    <m/>
    <x v="14"/>
    <x v="0"/>
    <s v="sedang"/>
    <x v="2"/>
    <s v="2EWIAD-O"/>
    <x v="1"/>
    <n v="1.65"/>
    <s v="MEAA-OH"/>
    <s v="Fluktuasi Capstand Speed"/>
    <x v="2"/>
    <s v="Normal Sendiri"/>
    <m/>
    <s v="V6B3823"/>
    <s v="001"/>
    <s v="1"/>
    <n v="1"/>
    <d v="2023-08-24T00:00:00"/>
    <d v="2023-08-31T00:00:00"/>
    <s v="Closed"/>
    <n v="1"/>
    <n v="0"/>
    <s v="Mr. Koko"/>
    <x v="61"/>
    <s v="SPECIAL PASS OK"/>
    <m/>
  </r>
  <r>
    <m/>
    <x v="14"/>
    <x v="0"/>
    <s v="sedang"/>
    <x v="11"/>
    <s v="2EIWAD-O"/>
    <x v="1"/>
    <n v="1.65"/>
    <s v="MEAA-OH"/>
    <s v="Bunyi Speed Alarm"/>
    <x v="2"/>
    <s v="Adjust Speed FP-500"/>
    <m/>
    <s v="12A3827"/>
    <s v="002"/>
    <s v="4"/>
    <n v="1"/>
    <d v="2023-08-30T00:00:00"/>
    <d v="2023-08-30T00:00:00"/>
    <s v="Closed"/>
    <n v="1"/>
    <n v="0"/>
    <s v="Mr. Koko"/>
    <x v="61"/>
    <s v="SPECIAL PASS OK"/>
    <m/>
  </r>
  <r>
    <m/>
    <x v="14"/>
    <x v="0"/>
    <s v="sedang"/>
    <x v="16"/>
    <s v="1HGZ-MA"/>
    <x v="1"/>
    <n v="1.18"/>
    <s v="LAMCOR"/>
    <s v="Floating Dies Up"/>
    <x v="14"/>
    <s v="Fp"/>
    <m/>
    <s v="V6A3829"/>
    <s v="004"/>
    <s v="1"/>
    <n v="1"/>
    <d v="2023-08-30T00:00:00"/>
    <d v="2023-08-30T00:00:00"/>
    <s v="Closed"/>
    <n v="1"/>
    <n v="0"/>
    <s v="Mr. Koko"/>
    <x v="61"/>
    <s v="SPECIAL PASS OK"/>
    <m/>
  </r>
  <r>
    <m/>
    <x v="14"/>
    <x v="0"/>
    <s v="sedang"/>
    <x v="3"/>
    <s v="1PEW"/>
    <x v="0"/>
    <n v="2.7"/>
    <s v="SEI-OEM"/>
    <s v="CD Small"/>
    <x v="2"/>
    <m/>
    <m/>
    <s v="V8A3828"/>
    <s v="027 / 028 / 029"/>
    <s v="1"/>
    <n v="3"/>
    <d v="2023-08-29T00:00:00"/>
    <d v="2023-08-30T00:00:00"/>
    <s v="Closed"/>
    <n v="3"/>
    <n v="0"/>
    <s v="Mr. Koko"/>
    <x v="61"/>
    <s v="SPECIAL PASS OK"/>
    <m/>
  </r>
  <r>
    <m/>
    <x v="14"/>
    <x v="0"/>
    <s v="sedang"/>
    <x v="2"/>
    <s v="2EIWAD-O"/>
    <x v="0"/>
    <n v="1.65"/>
    <s v="MEAA-OH"/>
    <s v="Blister"/>
    <x v="2"/>
    <m/>
    <m/>
    <s v="V6B3827"/>
    <s v="001"/>
    <s v="6"/>
    <n v="1"/>
    <d v="2023-08-29T00:00:00"/>
    <d v="2023-08-30T00:00:00"/>
    <s v="Closed"/>
    <s v="C"/>
    <n v="0"/>
    <s v="Mr. Koko"/>
    <x v="61"/>
    <s v="SPECIAL PASS OK"/>
    <m/>
  </r>
  <r>
    <m/>
    <x v="14"/>
    <x v="0"/>
    <s v="sedang"/>
    <x v="3"/>
    <s v="1PEW"/>
    <x v="0"/>
    <n v="2.7"/>
    <s v="SEI-OEM"/>
    <s v="CD Small"/>
    <x v="2"/>
    <m/>
    <m/>
    <s v="V8A3828"/>
    <s v="025 / 026"/>
    <m/>
    <n v="2"/>
    <d v="2023-08-28T00:00:00"/>
    <d v="2023-08-30T00:00:00"/>
    <s v="Closed"/>
    <n v="2"/>
    <n v="0"/>
    <s v="Mr. Koko"/>
    <x v="61"/>
    <s v="SPECIAL PASS OK"/>
    <m/>
  </r>
  <r>
    <m/>
    <x v="14"/>
    <x v="0"/>
    <s v="sedang"/>
    <x v="4"/>
    <s v="1-AIWP"/>
    <x v="0"/>
    <n v="1.57"/>
    <s v="Nikko Cahaya"/>
    <s v="Qty Horiba Kecil"/>
    <x v="2"/>
    <s v="Fp"/>
    <m/>
    <s v="12B3828"/>
    <s v="002"/>
    <s v="1 S/D 5"/>
    <n v="5"/>
    <d v="2023-08-29T00:00:00"/>
    <d v="2023-08-30T00:00:00"/>
    <s v="Closed"/>
    <n v="5"/>
    <n v="0"/>
    <s v="Mr. Koko"/>
    <x v="61"/>
    <s v="SPECIAL PASS OK"/>
    <m/>
  </r>
  <r>
    <m/>
    <x v="14"/>
    <x v="0"/>
    <s v="sedang"/>
    <x v="11"/>
    <s v="2EIWAD-O"/>
    <x v="1"/>
    <n v="1.65"/>
    <s v="MEAA-OH"/>
    <s v="Bunyi Speed Alarm"/>
    <x v="2"/>
    <s v="Adjust Speed Alarm"/>
    <m/>
    <s v="12A3827"/>
    <s v="002"/>
    <s v="2"/>
    <n v="1"/>
    <d v="2023-08-28T00:00:00"/>
    <d v="2023-08-30T00:00:00"/>
    <s v="Closed"/>
    <n v="1"/>
    <n v="0"/>
    <s v="Mr. Koko"/>
    <x v="61"/>
    <s v="SPECIAL PASS OK"/>
    <m/>
  </r>
  <r>
    <m/>
    <x v="14"/>
    <x v="0"/>
    <s v="sedang"/>
    <x v="4"/>
    <s v="1AIW"/>
    <x v="0"/>
    <n v="1"/>
    <s v="MITSUBA"/>
    <s v="Gulungan NG"/>
    <x v="2"/>
    <s v="Adjust Winding"/>
    <m/>
    <s v="12B3830"/>
    <s v="002"/>
    <s v="3.4"/>
    <n v="2"/>
    <d v="2023-08-31T00:00:00"/>
    <d v="2023-09-05T00:00:00"/>
    <s v="Closed"/>
    <n v="2"/>
    <n v="0"/>
    <s v="Mr. Koko"/>
    <x v="61"/>
    <s v="SPECIAL PASS OK"/>
    <m/>
  </r>
  <r>
    <m/>
    <x v="14"/>
    <x v="1"/>
    <s v="sedang"/>
    <x v="18"/>
    <s v="D2IDW4-B-2"/>
    <x v="1"/>
    <n v="0.26"/>
    <s v="SEI-ASMO"/>
    <s v="Mesin Interlock"/>
    <x v="83"/>
    <s v="Change Battery UPS By MTN"/>
    <m/>
    <s v="H1B3815"/>
    <s v="001"/>
    <s v="1 S/D 5"/>
    <n v="5"/>
    <d v="2023-08-05T00:00:00"/>
    <d v="2023-08-24T00:00:00"/>
    <s v="Closed"/>
    <n v="5"/>
    <n v="0"/>
    <s v="Mr. Koko"/>
    <x v="61"/>
    <s v="SPECIAL PASS OK"/>
    <m/>
  </r>
  <r>
    <m/>
    <x v="14"/>
    <x v="1"/>
    <s v="sedang"/>
    <x v="20"/>
    <s v="D2IDW4-B-2"/>
    <x v="1"/>
    <n v="0.26"/>
    <s v="SEI-ASMO"/>
    <s v="Interlock Mesin"/>
    <x v="83"/>
    <s v="Change Battery UPS By MTN"/>
    <m/>
    <s v="H1A3809"/>
    <s v="001 / 002"/>
    <s v="2 S/D 9 / 3"/>
    <n v="9"/>
    <d v="2023-08-05T00:00:00"/>
    <d v="2023-08-24T00:00:00"/>
    <s v="Closed"/>
    <n v="9"/>
    <n v="0"/>
    <s v="Mr. Koko"/>
    <x v="61"/>
    <s v="SPECIAL PASS OK"/>
    <m/>
  </r>
  <r>
    <m/>
    <x v="14"/>
    <x v="1"/>
    <s v="sedang"/>
    <x v="20"/>
    <s v="D2IDW4-B-2"/>
    <x v="0"/>
    <n v="0.26"/>
    <s v="SEI-ASMO"/>
    <s v="OD Big"/>
    <x v="2"/>
    <s v="Change Dies Coating"/>
    <m/>
    <s v="H1A3825"/>
    <s v="001"/>
    <s v="2"/>
    <n v="1"/>
    <d v="2023-08-28T00:00:00"/>
    <d v="2023-08-29T00:00:00"/>
    <s v="Closed"/>
    <n v="1"/>
    <n v="0"/>
    <s v="Mr. Koko"/>
    <x v="61"/>
    <s v="SPECIAL PASS OK"/>
    <m/>
  </r>
  <r>
    <m/>
    <x v="14"/>
    <x v="1"/>
    <s v="sedang"/>
    <x v="28"/>
    <s v="2DHWH"/>
    <x v="0"/>
    <n v="0.27"/>
    <s v="HITACHI ASTEMO"/>
    <s v="Tidak Ada Ekor"/>
    <x v="2"/>
    <s v="Kondisi Pisau Spool Change"/>
    <m/>
    <s v="H5B3821"/>
    <s v="005"/>
    <s v="1"/>
    <n v="1"/>
    <d v="2023-08-22T00:00:00"/>
    <d v="2023-08-29T00:00:00"/>
    <s v="Closed"/>
    <n v="1"/>
    <n v="0"/>
    <s v="Mr. Koko"/>
    <x v="61"/>
    <s v="SPECIAL PASS OK"/>
    <m/>
  </r>
  <r>
    <m/>
    <x v="14"/>
    <x v="1"/>
    <s v="sedang"/>
    <x v="22"/>
    <s v="D2IDW4-B-2"/>
    <x v="0"/>
    <n v="0.25"/>
    <s v="DMIA"/>
    <s v="Tidak Ada Ekor"/>
    <x v="2"/>
    <s v="Mc Stop"/>
    <m/>
    <s v="H2B3820"/>
    <s v="002"/>
    <s v="5"/>
    <n v="1"/>
    <d v="2023-08-21T00:00:00"/>
    <d v="2023-08-29T00:00:00"/>
    <s v="Closed"/>
    <n v="1"/>
    <n v="0"/>
    <s v="Mr. Koko"/>
    <x v="61"/>
    <s v="SPECIAL PASS OK"/>
    <m/>
  </r>
  <r>
    <m/>
    <x v="14"/>
    <x v="1"/>
    <s v="sedang"/>
    <x v="20"/>
    <s v="D2IDW4-B-2"/>
    <x v="0"/>
    <n v="0.26"/>
    <s v="SEI-ASMO"/>
    <s v="CD Small"/>
    <x v="2"/>
    <s v="Set Tension"/>
    <m/>
    <s v="H1A3814"/>
    <s v="001"/>
    <s v="1"/>
    <n v="1"/>
    <d v="2023-08-15T00:00:00"/>
    <d v="2023-08-22T00:00:00"/>
    <s v="Closed"/>
    <n v="1"/>
    <n v="0"/>
    <s v="Mr. Koko"/>
    <x v="61"/>
    <s v="SPECIAL PASS OK"/>
    <m/>
  </r>
  <r>
    <m/>
    <x v="14"/>
    <x v="1"/>
    <s v="sedang"/>
    <x v="14"/>
    <s v="1UTZ"/>
    <x v="0"/>
    <n v="0.38"/>
    <s v="NDKI"/>
    <s v="OD Hempei &amp; Big"/>
    <x v="2"/>
    <s v="Mc Stop"/>
    <m/>
    <s v="H2A3812"/>
    <s v="001"/>
    <s v="2 / 4"/>
    <n v="2"/>
    <d v="2023-08-15T00:00:00"/>
    <d v="2023-08-22T00:00:00"/>
    <s v="Closed"/>
    <n v="2"/>
    <n v="0"/>
    <s v="Mr. Koko"/>
    <x v="61"/>
    <s v="SPECIAL PASS OK"/>
    <m/>
  </r>
  <r>
    <m/>
    <x v="14"/>
    <x v="1"/>
    <s v="sedang"/>
    <x v="14"/>
    <s v="D2IDW4-B-2"/>
    <x v="0"/>
    <n v="0.3"/>
    <s v="DMIA"/>
    <s v="ECC Big"/>
    <x v="84"/>
    <s v="Change Dies Coating"/>
    <m/>
    <s v="H2A3809"/>
    <s v="001"/>
    <s v="1"/>
    <n v="1"/>
    <d v="2023-08-04T00:00:00"/>
    <d v="2023-08-22T00:00:00"/>
    <s v="Closed"/>
    <n v="1"/>
    <n v="0"/>
    <s v="Mr. Koko"/>
    <x v="61"/>
    <s v="SPECIAL PASS OK"/>
    <m/>
  </r>
  <r>
    <m/>
    <x v="14"/>
    <x v="1"/>
    <s v="sedang"/>
    <x v="14"/>
    <s v="D2-IDW-2-2"/>
    <x v="0"/>
    <n v="0.31"/>
    <s v="DMIA"/>
    <s v="ECC Big"/>
    <x v="85"/>
    <s v="Ganti Dies Coating"/>
    <m/>
    <s v="H2A3814"/>
    <s v="001"/>
    <s v="2"/>
    <n v="1"/>
    <d v="2023-08-14T00:00:00"/>
    <d v="2023-08-23T00:00:00"/>
    <s v="Closed"/>
    <n v="1"/>
    <n v="0"/>
    <s v="Mr. Koko"/>
    <x v="61"/>
    <s v="SPECIAL PASS OK"/>
    <m/>
  </r>
  <r>
    <m/>
    <x v="14"/>
    <x v="1"/>
    <s v="sedang"/>
    <x v="18"/>
    <s v="D2IDW4-B-2"/>
    <x v="0"/>
    <n v="0.26"/>
    <s v="SEI-ASMO"/>
    <s v="CD Small"/>
    <x v="2"/>
    <s v="Set Tension Makitori Side B"/>
    <m/>
    <s v="H1B3818"/>
    <s v="001"/>
    <s v="5"/>
    <n v="1"/>
    <d v="2023-08-19T00:00:00"/>
    <d v="2023-08-23T00:00:00"/>
    <s v="Closed"/>
    <n v="1"/>
    <n v="0"/>
    <s v="Mr. Koko"/>
    <x v="61"/>
    <s v="SPECIAL PASS OK"/>
    <m/>
  </r>
  <r>
    <m/>
    <x v="14"/>
    <x v="1"/>
    <s v="sedang"/>
    <x v="14"/>
    <s v="D2-IDW-2-2"/>
    <x v="0"/>
    <n v="0.31"/>
    <s v="DMIA"/>
    <s v="ECC Big"/>
    <x v="21"/>
    <m/>
    <m/>
    <s v="H2A3816"/>
    <s v="001"/>
    <s v="2.3"/>
    <n v="2"/>
    <d v="2023-08-16T00:00:00"/>
    <d v="2023-08-22T00:00:00"/>
    <s v="Closed"/>
    <n v="2"/>
    <n v="0"/>
    <s v="Mr. Koko"/>
    <x v="61"/>
    <s v="SPECIAL PASS OK"/>
    <m/>
  </r>
  <r>
    <m/>
    <x v="14"/>
    <x v="1"/>
    <s v="sedang"/>
    <x v="20"/>
    <s v="D2IDW4-B-2"/>
    <x v="0"/>
    <n v="0.26"/>
    <s v="SEI-ASMO"/>
    <s v="OD Big"/>
    <x v="2"/>
    <s v="Set Tension"/>
    <m/>
    <s v="H1A3809"/>
    <s v="001"/>
    <s v="2"/>
    <n v="1"/>
    <d v="2023-08-10T00:00:00"/>
    <d v="2023-08-16T00:00:00"/>
    <s v="Closed"/>
    <n v="1"/>
    <n v="0"/>
    <s v="Mr. Koko"/>
    <x v="61"/>
    <s v="SPECIAL PASS OK"/>
    <m/>
  </r>
  <r>
    <m/>
    <x v="14"/>
    <x v="1"/>
    <s v="sedang"/>
    <x v="20"/>
    <s v="D2IDW4-B-2"/>
    <x v="0"/>
    <n v="0.26"/>
    <s v="SEI-ASMO"/>
    <s v="OD Big"/>
    <x v="2"/>
    <s v="Adjust T/U Tension "/>
    <m/>
    <s v="H1A3810"/>
    <s v="002"/>
    <s v="3"/>
    <n v="1"/>
    <d v="2023-08-11T00:00:00"/>
    <d v="2023-08-16T00:00:00"/>
    <s v="Closed"/>
    <n v="1"/>
    <n v="0"/>
    <s v="Mr. Koko"/>
    <x v="61"/>
    <s v="SPECIAL PASS OK"/>
    <m/>
  </r>
  <r>
    <m/>
    <x v="14"/>
    <x v="1"/>
    <s v="sedang"/>
    <x v="20"/>
    <s v="D2IDW4-B-2"/>
    <x v="0"/>
    <n v="0.26"/>
    <s v="SEI-ASMO"/>
    <s v="OD Small"/>
    <x v="2"/>
    <s v="Setting Tension"/>
    <m/>
    <s v="H1A3810"/>
    <s v="001"/>
    <s v="1.3"/>
    <n v="2"/>
    <d v="2023-08-10T00:00:00"/>
    <d v="2023-08-16T00:00:00"/>
    <s v="Closed"/>
    <n v="2"/>
    <n v="0"/>
    <s v="Mr. Koko"/>
    <x v="61"/>
    <s v="SPECIAL PASS OK"/>
    <m/>
  </r>
  <r>
    <m/>
    <x v="14"/>
    <x v="1"/>
    <s v="sedang"/>
    <x v="18"/>
    <s v="D2IDW4-B-2"/>
    <x v="0"/>
    <n v="0.26"/>
    <s v="SEI-ASMO"/>
    <s v="CD Small"/>
    <x v="86"/>
    <s v="Adjust T/U Tension "/>
    <m/>
    <s v="H1B3810"/>
    <s v="001"/>
    <s v="5"/>
    <n v="1"/>
    <d v="2023-08-11T00:00:00"/>
    <d v="2023-08-16T00:00:00"/>
    <s v="Closed"/>
    <n v="1"/>
    <n v="0"/>
    <s v="Mr. Koko"/>
    <x v="61"/>
    <s v="SPECIAL PASS OK"/>
    <m/>
  </r>
  <r>
    <m/>
    <x v="14"/>
    <x v="1"/>
    <s v="sedang"/>
    <x v="20"/>
    <s v="D2IDW4-B-2"/>
    <x v="0"/>
    <n v="0.26"/>
    <s v="SEI-ASMO"/>
    <s v="ECC Big (Advance)"/>
    <x v="2"/>
    <s v="Cn 1 Ganti FD &amp; Semua Dies Coating. Cn 3 Ganti Dies"/>
    <m/>
    <s v="H1A3802"/>
    <s v="001"/>
    <s v="3"/>
    <n v="1"/>
    <d v="2023-08-02T00:00:00"/>
    <d v="2023-08-09T00:00:00"/>
    <s v="Closed"/>
    <n v="1"/>
    <n v="0"/>
    <s v="Mr. Koko"/>
    <x v="61"/>
    <s v="SPECIAL PASS OK"/>
    <m/>
  </r>
  <r>
    <m/>
    <x v="14"/>
    <x v="1"/>
    <s v="sedang"/>
    <x v="14"/>
    <s v="D2IDW4-B-2"/>
    <x v="0"/>
    <n v="0.26"/>
    <s v="DMIA"/>
    <s v="OD Small"/>
    <x v="87"/>
    <s v="Set Tension T/U"/>
    <m/>
    <s v="H2A3803"/>
    <s v="001"/>
    <s v="5"/>
    <n v="1"/>
    <d v="2023-08-03T00:00:00"/>
    <d v="2023-08-09T00:00:00"/>
    <s v="Closed"/>
    <n v="1"/>
    <n v="0"/>
    <s v="Mr. Koko"/>
    <x v="61"/>
    <s v="SPECIAL PASS OK"/>
    <m/>
  </r>
  <r>
    <m/>
    <x v="14"/>
    <x v="1"/>
    <s v="sedang"/>
    <x v="18"/>
    <s v="D2IDW4-B-2"/>
    <x v="0"/>
    <n v="0.26"/>
    <s v="SEI-ASMO"/>
    <s v="Moulding ECC Big"/>
    <x v="2"/>
    <s v="Change Dies Coating"/>
    <m/>
    <s v="H1B3802"/>
    <s v="Start Up"/>
    <s v="5"/>
    <n v="1"/>
    <d v="2023-08-03T00:00:00"/>
    <d v="2023-08-09T00:00:00"/>
    <s v="Closed"/>
    <n v="1"/>
    <n v="0"/>
    <s v="Mr. Koko"/>
    <x v="61"/>
    <s v="SPECIAL PASS OK"/>
    <m/>
  </r>
  <r>
    <m/>
    <x v="14"/>
    <x v="1"/>
    <s v="sedang"/>
    <x v="14"/>
    <s v="D2IDW4-B-2"/>
    <x v="0"/>
    <n v="0.26"/>
    <s v="DMIA"/>
    <s v="Moulding ECC Big"/>
    <x v="2"/>
    <s v="- Change Dies Co - Cleaning &amp; Siwak"/>
    <m/>
    <s v="H2A3802"/>
    <s v="Start Up"/>
    <s v="1.2.3.5"/>
    <n v="4"/>
    <d v="2023-08-02T00:00:00"/>
    <d v="2023-08-09T00:00:00"/>
    <s v="Closed"/>
    <n v="4"/>
    <n v="0"/>
    <s v="Mr. Koko"/>
    <x v="61"/>
    <s v="SPECIAL PASS OK"/>
    <m/>
  </r>
  <r>
    <m/>
    <x v="14"/>
    <x v="1"/>
    <s v="sedang"/>
    <x v="20"/>
    <s v="D2IDW4-B-2"/>
    <x v="0"/>
    <n v="0.26"/>
    <s v="SEI-ASMO"/>
    <s v="ECC Moulding Big"/>
    <x v="88"/>
    <s v="- Adjust Sheave Coating - Adjust T/U Tension"/>
    <m/>
    <s v="H1A3801"/>
    <s v="Start Up"/>
    <s v="5"/>
    <n v="1"/>
    <d v="2023-08-02T00:00:00"/>
    <d v="2023-08-09T00:00:00"/>
    <s v="Closed"/>
    <n v="1"/>
    <n v="0"/>
    <s v="Mr. Koko"/>
    <x v="61"/>
    <s v="SPECIAL PASS OK"/>
    <m/>
  </r>
  <r>
    <m/>
    <x v="14"/>
    <x v="1"/>
    <s v="sedang"/>
    <x v="14"/>
    <s v="D2IDW4-B-2"/>
    <x v="0"/>
    <n v="0.26"/>
    <s v="DMIA"/>
    <s v="ECC Moulding Big"/>
    <x v="2"/>
    <s v="- Ganti Coating Dies - Geser Separator Sheave"/>
    <m/>
    <s v="H2A3802"/>
    <s v="Start Up"/>
    <s v="2"/>
    <n v="1"/>
    <d v="2023-08-03T00:00:00"/>
    <d v="2023-08-09T00:00:00"/>
    <s v="Closed"/>
    <n v="1"/>
    <n v="0"/>
    <s v="Mr. Koko"/>
    <x v="61"/>
    <s v="SPECIAL PASS OK"/>
    <m/>
  </r>
  <r>
    <m/>
    <x v="14"/>
    <x v="1"/>
    <s v="sedang"/>
    <x v="29"/>
    <s v="2PEW"/>
    <x v="0"/>
    <n v="0.35"/>
    <s v="MAPI"/>
    <s v="M-TAN "/>
    <x v="88"/>
    <s v="Speed Up 5%"/>
    <m/>
    <s v="H5A3805"/>
    <s v="Start Up"/>
    <s v="1"/>
    <n v="1"/>
    <d v="2023-08-06T00:00:00"/>
    <d v="2023-08-09T00:00:00"/>
    <s v="Closed"/>
    <n v="1"/>
    <n v="0"/>
    <s v="Mr. Koko"/>
    <x v="61"/>
    <s v="SPECIAL PASS OK"/>
    <m/>
  </r>
  <r>
    <m/>
    <x v="14"/>
    <x v="1"/>
    <s v="sedang"/>
    <x v="28"/>
    <s v="2PEW"/>
    <x v="0"/>
    <n v="0.35"/>
    <s v="MAPI"/>
    <s v="M-TAN "/>
    <x v="88"/>
    <s v="Speed Up 5%"/>
    <m/>
    <s v="H5B3805"/>
    <s v="Start Up"/>
    <s v="1"/>
    <n v="1"/>
    <d v="2023-08-06T00:00:00"/>
    <d v="2023-08-09T00:00:00"/>
    <s v="Closed"/>
    <n v="1"/>
    <n v="0"/>
    <s v="Mr. Koko"/>
    <x v="61"/>
    <s v="SPECIAL PASS OK"/>
    <m/>
  </r>
  <r>
    <m/>
    <x v="14"/>
    <x v="1"/>
    <s v="sedang"/>
    <x v="20"/>
    <s v="D2IDW4-B-2"/>
    <x v="0"/>
    <n v="0.26"/>
    <s v="SEI-ASMO"/>
    <s v="Moulding ECC Big"/>
    <x v="2"/>
    <m/>
    <m/>
    <s v="H1A3806"/>
    <s v="Start Up"/>
    <s v="3"/>
    <n v="1"/>
    <d v="2023-08-07T00:00:00"/>
    <d v="2023-08-09T00:00:00"/>
    <s v="Closed"/>
    <n v="1"/>
    <n v="0"/>
    <s v="Mr. Koko"/>
    <x v="61"/>
    <s v="SPECIAL PASS OK"/>
    <m/>
  </r>
  <r>
    <m/>
    <x v="14"/>
    <x v="1"/>
    <s v="sedang"/>
    <x v="12"/>
    <s v="D2IDW4-B-2"/>
    <x v="0"/>
    <n v="0.31"/>
    <s v="DMIA"/>
    <s v="Horiba Small"/>
    <x v="89"/>
    <s v="Speed Oil SPB Dinaikkan dari 4.2rpm ke 4.5 rpm"/>
    <m/>
    <s v="H3A3805"/>
    <s v="001 S/D 003"/>
    <s v="1"/>
    <n v="3"/>
    <d v="2023-08-07T00:00:00"/>
    <d v="2023-08-09T00:00:00"/>
    <s v="Closed"/>
    <n v="3"/>
    <n v="0"/>
    <s v="Mr. Koko"/>
    <x v="61"/>
    <s v="SPECIAL PASS OK"/>
    <m/>
  </r>
  <r>
    <m/>
    <x v="14"/>
    <x v="1"/>
    <s v="sedang"/>
    <x v="14"/>
    <s v="D2IDW4-B-2"/>
    <x v="0"/>
    <n v="0.26"/>
    <s v="DMIA"/>
    <s v="OD Small"/>
    <x v="2"/>
    <m/>
    <m/>
    <s v="H2A3805"/>
    <s v="001"/>
    <s v="2.3"/>
    <n v="2"/>
    <d v="2023-08-07T00:00:00"/>
    <d v="2023-08-09T00:00:00"/>
    <s v="Closed"/>
    <n v="2"/>
    <n v="0"/>
    <s v="Mr. Koko"/>
    <x v="61"/>
    <s v="SPECIAL PASS OK"/>
    <m/>
  </r>
  <r>
    <m/>
    <x v="14"/>
    <x v="1"/>
    <s v="sedang"/>
    <x v="14"/>
    <s v="D2IDW4-B-2"/>
    <x v="0"/>
    <n v="0.3"/>
    <s v="DMIA"/>
    <s v="Ovality CD Big &amp; ECC Big"/>
    <x v="2"/>
    <s v="Change Dies Coating"/>
    <m/>
    <s v="H2A3808"/>
    <s v="001"/>
    <s v="2 / 1.5"/>
    <n v="3"/>
    <d v="2023-08-09T00:00:00"/>
    <d v="2023-08-14T00:00:00"/>
    <s v="Closed"/>
    <n v="3"/>
    <n v="0"/>
    <s v="Mr. Koko"/>
    <x v="61"/>
    <s v="SPECIAL PASS OK"/>
    <m/>
  </r>
  <r>
    <m/>
    <x v="14"/>
    <x v="1"/>
    <s v="sedang"/>
    <x v="22"/>
    <s v="D2IDW4-B-2"/>
    <x v="0"/>
    <n v="0.25"/>
    <s v="DMIA"/>
    <s v="OD Big"/>
    <x v="90"/>
    <s v="Adjust T/U Tension "/>
    <m/>
    <s v="H2B3805"/>
    <s v="001"/>
    <s v="2"/>
    <n v="1"/>
    <d v="2023-08-08T00:00:00"/>
    <d v="2023-08-14T00:00:00"/>
    <s v="Closed"/>
    <n v="1"/>
    <n v="0"/>
    <s v="Mr. Koko"/>
    <x v="61"/>
    <s v="SPECIAL PASS OK"/>
    <m/>
  </r>
  <r>
    <m/>
    <x v="14"/>
    <x v="1"/>
    <s v="sedang"/>
    <x v="20"/>
    <s v="D2IDW4-B-2"/>
    <x v="0"/>
    <n v="0.26"/>
    <s v="SEI-ASMO"/>
    <s v="OD Big"/>
    <x v="2"/>
    <s v="Change Dies Coating"/>
    <m/>
    <s v="H1A3807"/>
    <s v="002"/>
    <s v="5"/>
    <n v="1"/>
    <d v="2023-08-08T00:00:00"/>
    <d v="2023-08-14T00:00:00"/>
    <s v="Closed"/>
    <n v="1"/>
    <n v="0"/>
    <s v="Mr. Koko"/>
    <x v="61"/>
    <s v="SPECIAL PASS OK"/>
    <m/>
  </r>
  <r>
    <m/>
    <x v="14"/>
    <x v="1"/>
    <s v="sedang"/>
    <x v="20"/>
    <s v="D2IDW4-B-2"/>
    <x v="0"/>
    <n v="0.26"/>
    <s v="SEI-ASMO"/>
    <s v="OD Big"/>
    <x v="2"/>
    <s v="Adjust T/U Tension "/>
    <m/>
    <s v="H1A3809"/>
    <s v="001"/>
    <s v="3.5"/>
    <n v="2"/>
    <d v="2023-08-04T00:00:00"/>
    <d v="2023-08-14T00:00:00"/>
    <s v="Closed"/>
    <n v="2"/>
    <n v="0"/>
    <s v="Mr. Koko"/>
    <x v="61"/>
    <s v="SPECIAL PASS OK"/>
    <m/>
  </r>
  <r>
    <m/>
    <x v="14"/>
    <x v="1"/>
    <s v="sedang"/>
    <x v="14"/>
    <s v="D2IDW4-B-2"/>
    <x v="0"/>
    <n v="0.26"/>
    <s v="DMIA"/>
    <s v="CD Big, FT Small &amp; OD Small"/>
    <x v="2"/>
    <s v="Fp"/>
    <m/>
    <s v="H2A3807"/>
    <s v="001 / 002 / 003"/>
    <s v="3.5 / 2.3.5 / 1"/>
    <n v="6"/>
    <d v="2023-08-08T00:00:00"/>
    <d v="2023-08-14T00:00:00"/>
    <s v="Closed"/>
    <n v="6"/>
    <n v="0"/>
    <s v="Mr. Koko"/>
    <x v="61"/>
    <s v="SPECIAL PASS OK"/>
    <m/>
  </r>
  <r>
    <m/>
    <x v="14"/>
    <x v="1"/>
    <s v="sedang"/>
    <x v="22"/>
    <s v="D2IDW4-B-2"/>
    <x v="0"/>
    <n v="0.25"/>
    <s v="DMIA"/>
    <s v="Visual NG"/>
    <x v="91"/>
    <s v="Cek Pass Line"/>
    <m/>
    <s v="H2B3809"/>
    <s v="002"/>
    <s v="2"/>
    <n v="1"/>
    <d v="2023-08-10T00:00:00"/>
    <d v="2023-08-14T00:00:00"/>
    <s v="Closed"/>
    <n v="0"/>
    <n v="1"/>
    <s v="Mr. Koko"/>
    <x v="61"/>
    <s v="PRODUCT DISCRAPE"/>
    <m/>
  </r>
  <r>
    <m/>
    <x v="14"/>
    <x v="1"/>
    <s v="sedang"/>
    <x v="20"/>
    <s v="D2IDW4-B-2"/>
    <x v="0"/>
    <n v="0.26"/>
    <s v="SEI-ASMO"/>
    <s v="OD Small"/>
    <x v="92"/>
    <s v="- Wire Break ---&gt; Wire Passing - Cek OD"/>
    <m/>
    <s v="H1A3829"/>
    <s v="002"/>
    <s v="2"/>
    <n v="1"/>
    <d v="2023-08-30T00:00:00"/>
    <d v="2023-08-31T00:00:00"/>
    <s v="Closed"/>
    <n v="1"/>
    <n v="0"/>
    <s v="Mr. Koko"/>
    <x v="61"/>
    <s v="SPECIAL PASS OK"/>
    <m/>
  </r>
  <r>
    <m/>
    <x v="14"/>
    <x v="1"/>
    <s v="sedang"/>
    <x v="13"/>
    <s v="2AIWP"/>
    <x v="0"/>
    <n v="0.25"/>
    <s v="MITSUBA"/>
    <s v="Coating Thicknes Small"/>
    <x v="2"/>
    <s v="Reel Change T/U 003"/>
    <m/>
    <s v="H3B3829"/>
    <s v="001"/>
    <s v="1"/>
    <n v="1"/>
    <d v="2023-08-30T00:00:00"/>
    <d v="2023-08-31T00:00:00"/>
    <s v="Closed"/>
    <n v="1"/>
    <n v="0"/>
    <s v="Mr. Koko"/>
    <x v="61"/>
    <s v="SPECIAL PASS OK"/>
    <m/>
  </r>
  <r>
    <m/>
    <x v="14"/>
    <x v="1"/>
    <s v="sedang"/>
    <x v="20"/>
    <s v="D2IDW4-B-2"/>
    <x v="0"/>
    <n v="0.26"/>
    <s v="SEI-ASMO"/>
    <s v="OD Small"/>
    <x v="93"/>
    <s v="Adjust T/U Tension "/>
    <m/>
    <s v="H1A3828"/>
    <s v="001"/>
    <s v="3"/>
    <n v="1"/>
    <d v="2023-08-29T00:00:00"/>
    <d v="2023-08-31T00:00:00"/>
    <s v="Closed"/>
    <n v="1"/>
    <n v="0"/>
    <s v="Mr. Koko"/>
    <x v="61"/>
    <s v="SPECIAL PASS OK"/>
    <m/>
  </r>
  <r>
    <m/>
    <x v="14"/>
    <x v="1"/>
    <s v="sedang"/>
    <x v="19"/>
    <s v="2-AIW"/>
    <x v="0"/>
    <n v="0.14000000000000001"/>
    <s v="HITACHI ASTEMO"/>
    <s v="ECC Big"/>
    <x v="2"/>
    <s v="Change Dies Coating"/>
    <m/>
    <s v="H763823"/>
    <s v="001"/>
    <s v="5"/>
    <n v="1"/>
    <d v="2023-08-29T00:00:00"/>
    <d v="2023-08-29T00:00:00"/>
    <s v="Closed"/>
    <n v="1"/>
    <n v="0"/>
    <s v="Mr. Koko"/>
    <x v="61"/>
    <s v="SPECIAL PASS OK"/>
    <m/>
  </r>
  <r>
    <m/>
    <x v="14"/>
    <x v="1"/>
    <s v="sedang"/>
    <x v="20"/>
    <s v="D2IDW4-B-2"/>
    <x v="0"/>
    <n v="0.26"/>
    <s v="SEI-ASMO"/>
    <s v="OD Big"/>
    <x v="94"/>
    <s v="Adjust T/U Tension Sesuai Std"/>
    <m/>
    <s v="H1A3830"/>
    <s v="002"/>
    <s v="3"/>
    <n v="1"/>
    <d v="2023-08-09T00:00:00"/>
    <d v="2023-08-09T00:00:00"/>
    <s v="Closed"/>
    <n v="1"/>
    <n v="0"/>
    <s v="Mr. Koko"/>
    <x v="61"/>
    <s v="SPECIAL PASS OK"/>
    <m/>
  </r>
  <r>
    <m/>
    <x v="15"/>
    <x v="0"/>
    <s v="sedang"/>
    <x v="17"/>
    <s v="D2DSW2"/>
    <x v="0"/>
    <n v="0.5"/>
    <s v="HAMADEN"/>
    <s v="Blister"/>
    <x v="2"/>
    <s v="Next T/U Ok"/>
    <m/>
    <s v="V4B3916"/>
    <s v="002"/>
    <s v="4"/>
    <n v="1"/>
    <d v="2023-09-19T00:00:00"/>
    <d v="2023-09-21T00:00:00"/>
    <s v="Closed"/>
    <n v="1"/>
    <n v="0"/>
    <s v="Mr. Koko"/>
    <x v="61"/>
    <s v="SPECIAL PASS OK"/>
    <m/>
  </r>
  <r>
    <m/>
    <x v="15"/>
    <x v="0"/>
    <s v="sedang"/>
    <x v="7"/>
    <s v="D2DSW2"/>
    <x v="0"/>
    <n v="0.5"/>
    <s v="HAMADEN"/>
    <s v="App Blister"/>
    <x v="2"/>
    <m/>
    <m/>
    <s v="V4A3915"/>
    <s v="002"/>
    <s v="9.10"/>
    <n v="2"/>
    <d v="2023-09-16T00:00:00"/>
    <d v="2023-09-21T00:00:00"/>
    <s v="Closed"/>
    <n v="2"/>
    <n v="0"/>
    <s v="Mr. Koko"/>
    <x v="61"/>
    <s v="SPECIAL PASS OK"/>
    <m/>
  </r>
  <r>
    <m/>
    <x v="15"/>
    <x v="0"/>
    <s v="sedang"/>
    <x v="7"/>
    <s v="D2DSW2"/>
    <x v="0"/>
    <n v="0.5"/>
    <s v="HAMADEN"/>
    <s v="App NG"/>
    <x v="2"/>
    <s v="Next T/U Ok"/>
    <m/>
    <s v="V4A3915"/>
    <s v="001"/>
    <s v="9.10"/>
    <n v="2"/>
    <d v="2023-09-20T00:00:00"/>
    <s v="9/21C"/>
    <s v="Closed"/>
    <n v="2"/>
    <n v="0"/>
    <s v="Mr. Koko"/>
    <x v="61"/>
    <s v="SPECIAL PASS OK"/>
    <m/>
  </r>
  <r>
    <m/>
    <x v="15"/>
    <x v="0"/>
    <s v="sedang"/>
    <x v="17"/>
    <s v="D2IDW-4-B-2"/>
    <x v="0"/>
    <n v="0.63"/>
    <s v="DMIA"/>
    <s v="Bad Winding"/>
    <x v="2"/>
    <s v="Fp"/>
    <m/>
    <s v="V4B3915"/>
    <s v="002"/>
    <s v="2"/>
    <n v="1"/>
    <d v="2023-09-16T00:00:00"/>
    <d v="2023-09-21T00:00:00"/>
    <s v="Closed"/>
    <n v="1"/>
    <n v="0"/>
    <s v="Mr. Koko"/>
    <x v="61"/>
    <s v="SPECIAL PASS OK"/>
    <m/>
  </r>
  <r>
    <m/>
    <x v="15"/>
    <x v="0"/>
    <s v="sedang"/>
    <x v="8"/>
    <s v="D1-PEW-B-2Y"/>
    <x v="0"/>
    <n v="0.9"/>
    <s v="WIN-A (DMNC-S)"/>
    <s v="Qty Horiba Big"/>
    <x v="2"/>
    <s v="WS Roll Coater Diturunkan 4.25 ---&gt; 4.10"/>
    <m/>
    <s v="V9A3912"/>
    <s v="001"/>
    <s v="1 S/D 9"/>
    <n v="9"/>
    <d v="2023-09-13T00:00:00"/>
    <d v="2023-09-15T00:00:00"/>
    <s v="Closed"/>
    <n v="9"/>
    <n v="0"/>
    <s v="Mr. Koko"/>
    <x v="61"/>
    <s v="SPECIAL PASS OK"/>
    <m/>
  </r>
  <r>
    <m/>
    <x v="15"/>
    <x v="0"/>
    <s v="sedang"/>
    <x v="2"/>
    <s v="2EIWAD-SS"/>
    <x v="1"/>
    <n v="1.27"/>
    <s v="MEAINA"/>
    <s v="Varnish Kering / Kecil"/>
    <x v="95"/>
    <s v="Repair By MTN"/>
    <m/>
    <s v="V6B3913"/>
    <s v="001"/>
    <s v="1 S/D 7"/>
    <n v="7"/>
    <d v="2023-09-13T00:00:00"/>
    <d v="2023-09-21T00:00:00"/>
    <s v="Closed"/>
    <n v="7"/>
    <n v="0"/>
    <s v="Mr. Koko"/>
    <x v="61"/>
    <s v="SPECIAL PASS OK"/>
    <m/>
  </r>
  <r>
    <m/>
    <x v="15"/>
    <x v="0"/>
    <s v="sedang"/>
    <x v="10"/>
    <s v="0FBWSHC"/>
    <x v="1"/>
    <n v="1.2"/>
    <s v="MITSUBA"/>
    <s v="Fluktuasi"/>
    <x v="2"/>
    <s v="PE Adjust Temperature Oven Top Coat"/>
    <m/>
    <s v="V9B3912"/>
    <s v="001"/>
    <s v="1 S/D 7"/>
    <n v="7"/>
    <d v="2023-09-13T00:00:00"/>
    <d v="2023-09-21T00:00:00"/>
    <s v="Closed"/>
    <n v="7"/>
    <n v="0"/>
    <s v="Mr. Koko"/>
    <x v="61"/>
    <s v="SPECIAL PASS OK"/>
    <m/>
  </r>
  <r>
    <m/>
    <x v="15"/>
    <x v="0"/>
    <s v="sedang"/>
    <x v="0"/>
    <s v="2PEW"/>
    <x v="1"/>
    <n v="0.8"/>
    <s v="MELCO"/>
    <s v="Laser Micro Alarm"/>
    <x v="96"/>
    <m/>
    <m/>
    <s v="11A3910"/>
    <s v="003"/>
    <s v="5"/>
    <n v="1"/>
    <d v="2023-09-13T00:00:00"/>
    <d v="2023-09-14T00:00:00"/>
    <s v="Closed"/>
    <n v="1"/>
    <n v="0"/>
    <s v="Mr. Koko"/>
    <x v="61"/>
    <s v="SPECIAL PASS OK"/>
    <m/>
  </r>
  <r>
    <m/>
    <x v="15"/>
    <x v="0"/>
    <s v="sedang"/>
    <x v="9"/>
    <s v="D1-PEW-B-2Y"/>
    <x v="0"/>
    <n v="0.75"/>
    <s v="SEI-ASMO"/>
    <s v="Horiba Small"/>
    <x v="2"/>
    <s v="Produk Wire Break"/>
    <m/>
    <s v="VOB3909"/>
    <s v="003"/>
    <s v="1 S/D 5"/>
    <n v="5"/>
    <d v="2023-09-10T00:00:00"/>
    <d v="2023-09-12T00:00:00"/>
    <s v="Closed"/>
    <n v="5"/>
    <n v="0"/>
    <s v="Mr. Koko"/>
    <x v="61"/>
    <s v="SPECIAL PASS OK"/>
    <m/>
  </r>
  <r>
    <m/>
    <x v="15"/>
    <x v="0"/>
    <s v="sedang"/>
    <x v="23"/>
    <s v="D1-PEW-B-2T"/>
    <x v="0"/>
    <n v="0.6"/>
    <s v="DMIA"/>
    <s v="CD Small"/>
    <x v="2"/>
    <s v="Produk Tanggal 10 Ok (Normal Sendiri)"/>
    <m/>
    <s v="VOA3909"/>
    <s v="003 / 002 / 004"/>
    <s v="2 / 2 / 2"/>
    <n v="3"/>
    <d v="2023-09-10T00:00:00"/>
    <d v="2023-09-12T00:00:00"/>
    <s v="Closed"/>
    <n v="3"/>
    <n v="0"/>
    <s v="Mr. Koko"/>
    <x v="61"/>
    <s v="SPECIAL PASS OK"/>
    <m/>
  </r>
  <r>
    <m/>
    <x v="15"/>
    <x v="0"/>
    <s v="sedang"/>
    <x v="0"/>
    <s v="D1-PEW-B-2Y"/>
    <x v="1"/>
    <n v="0.8"/>
    <s v="SEI-ASMO"/>
    <s v="Laser Micro Alarm"/>
    <x v="2"/>
    <s v="Siwa Dies Coating"/>
    <m/>
    <s v="11A3906"/>
    <s v="003"/>
    <s v="2"/>
    <n v="1"/>
    <d v="2023-09-06T00:00:00"/>
    <d v="2023-09-12T00:00:00"/>
    <s v="Closed"/>
    <n v="1"/>
    <n v="0"/>
    <s v="Mr. Koko"/>
    <x v="61"/>
    <s v="SPECIAL PASS OK"/>
    <m/>
  </r>
  <r>
    <m/>
    <x v="15"/>
    <x v="0"/>
    <s v="sedang"/>
    <x v="11"/>
    <s v="2EIWAD-O"/>
    <x v="0"/>
    <n v="1.81"/>
    <s v="MEAA-OH"/>
    <s v="Gulungan Keluar"/>
    <x v="2"/>
    <s v="- Spool Change Ulang - Adjust New Lite Suplay FP-500"/>
    <m/>
    <s v="12A3906"/>
    <s v="002"/>
    <s v="1"/>
    <n v="1"/>
    <d v="2023-09-07T00:00:00"/>
    <d v="2023-09-13T00:00:00"/>
    <s v="Closed"/>
    <n v="1"/>
    <n v="0"/>
    <s v="Mr. Koko"/>
    <x v="61"/>
    <s v="SPECIAL PASS OK"/>
    <m/>
  </r>
  <r>
    <m/>
    <x v="15"/>
    <x v="0"/>
    <s v="sedang"/>
    <x v="9"/>
    <s v="D1-PEW-B-2Y"/>
    <x v="0"/>
    <n v="0.75"/>
    <s v="SEI-ASMO"/>
    <s v="Qty Horiba Small"/>
    <x v="97"/>
    <m/>
    <m/>
    <s v="VOB3908 / VOB3909"/>
    <s v="003 / 002"/>
    <s v="1 S/D 5 / 2.3.4.5"/>
    <n v="9"/>
    <d v="2023-09-11T00:00:00"/>
    <d v="2023-09-12T00:00:00"/>
    <s v="Closed"/>
    <n v="9"/>
    <n v="0"/>
    <s v="Mr. Koko"/>
    <x v="61"/>
    <s v="SPECIAL PASS OK"/>
    <m/>
  </r>
  <r>
    <m/>
    <x v="15"/>
    <x v="0"/>
    <s v="sedang"/>
    <x v="16"/>
    <s v="1HGZ-MA"/>
    <x v="1"/>
    <n v="1.18"/>
    <s v="LAMCOR"/>
    <s v="Laser Micro Off"/>
    <x v="98"/>
    <s v="Switch on Alarm Primary Coat"/>
    <m/>
    <s v="V6A3909"/>
    <s v="001"/>
    <s v="1 S/D 5"/>
    <n v="5"/>
    <d v="2023-09-09T00:00:00"/>
    <d v="2023-09-12T00:00:00"/>
    <s v="Closed"/>
    <n v="5"/>
    <n v="0"/>
    <s v="Mr. Koko"/>
    <x v="61"/>
    <s v="SPECIAL PASS OK"/>
    <m/>
  </r>
  <r>
    <m/>
    <x v="15"/>
    <x v="0"/>
    <s v="sedang"/>
    <x v="0"/>
    <s v="D1-PEW-B-2Y"/>
    <x v="1"/>
    <n v="0.8"/>
    <s v="SEI-ASMO"/>
    <s v="Laser Micro Alarm"/>
    <x v="2"/>
    <s v="- Rotary Dies Inline -Siwa Dies Coating"/>
    <m/>
    <s v="11A3905"/>
    <s v="004"/>
    <s v="1.5"/>
    <n v="2"/>
    <d v="2023-09-06T00:00:00"/>
    <d v="2023-09-08T00:00:00"/>
    <s v="Closed"/>
    <n v="2"/>
    <n v="0"/>
    <s v="Mr. Koko"/>
    <x v="61"/>
    <s v="SPECIAL PASS OK"/>
    <m/>
  </r>
  <r>
    <m/>
    <x v="15"/>
    <x v="0"/>
    <s v="sedang"/>
    <x v="23"/>
    <s v="D1-PEW-B-2T"/>
    <x v="0"/>
    <n v="0.6"/>
    <s v="DMIA"/>
    <s v="OD Small"/>
    <x v="2"/>
    <s v="Siwa ---&gt; Hasil Masih Small 1micron"/>
    <m/>
    <s v="VOA3903"/>
    <s v="004"/>
    <s v="2"/>
    <n v="1"/>
    <d v="2023-09-04T00:00:00"/>
    <d v="2023-09-05T00:00:00"/>
    <s v="Closed"/>
    <n v="1"/>
    <n v="0"/>
    <s v="Mr. Koko"/>
    <x v="61"/>
    <s v="SPECIAL PASS OK"/>
    <m/>
  </r>
  <r>
    <m/>
    <x v="15"/>
    <x v="0"/>
    <s v="sedang"/>
    <x v="23"/>
    <s v="D1-PEW-B-2T"/>
    <x v="0"/>
    <n v="0.6"/>
    <s v="DMIA"/>
    <s v="App Sure"/>
    <x v="2"/>
    <s v="- Change Dies Inline Cn 2 &amp; 5 - Change Dies Coating All"/>
    <m/>
    <s v="VOA3904"/>
    <s v="003 / 004"/>
    <s v="5 / 5"/>
    <n v="2"/>
    <d v="2023-09-05T00:00:00"/>
    <d v="2023-09-08T00:00:00"/>
    <s v="Closed"/>
    <n v="0"/>
    <n v="2"/>
    <s v="Mr. Koko"/>
    <x v="61"/>
    <s v="PRODUCT DISCRAPE"/>
    <m/>
  </r>
  <r>
    <m/>
    <x v="15"/>
    <x v="0"/>
    <s v="sedang"/>
    <x v="0"/>
    <s v="D1-PEW-B-2Y"/>
    <x v="0"/>
    <n v="0.8"/>
    <s v="SEI-ASMO"/>
    <s v="ECC Big"/>
    <x v="2"/>
    <s v="Cek T/U 002-05 Ok"/>
    <m/>
    <s v="11A3905"/>
    <s v="001"/>
    <s v="5"/>
    <n v="1"/>
    <d v="2023-09-05T00:00:00"/>
    <d v="2023-09-08T00:00:00"/>
    <s v="Closed"/>
    <n v="1"/>
    <n v="0"/>
    <s v="Mr. Koko"/>
    <x v="61"/>
    <s v="SPECIAL PASS OK"/>
    <m/>
  </r>
  <r>
    <m/>
    <x v="15"/>
    <x v="0"/>
    <s v="sedang"/>
    <x v="23"/>
    <s v="D1-PEW-B-2T"/>
    <x v="0"/>
    <n v="0.6"/>
    <s v="DMIA"/>
    <s v="OD Small"/>
    <x v="2"/>
    <s v="Adjust Tension"/>
    <m/>
    <s v="VOA3904"/>
    <s v="001"/>
    <s v="2"/>
    <n v="1"/>
    <d v="2023-09-04T00:00:00"/>
    <d v="2023-09-05T00:00:00"/>
    <s v="Closed"/>
    <n v="1"/>
    <n v="0"/>
    <s v="Mr. Koko"/>
    <x v="61"/>
    <s v="SPECIAL PASS OK"/>
    <m/>
  </r>
  <r>
    <m/>
    <x v="15"/>
    <x v="0"/>
    <s v="sedang"/>
    <x v="23"/>
    <s v="D1-PEW-B-2T"/>
    <x v="0"/>
    <n v="0.6"/>
    <s v="DMIA"/>
    <s v="CD Small"/>
    <x v="2"/>
    <m/>
    <m/>
    <s v="VOA3901"/>
    <s v="001"/>
    <s v="3"/>
    <n v="1"/>
    <d v="2023-09-02T00:00:00"/>
    <d v="2023-09-05T00:00:00"/>
    <s v="Closed"/>
    <n v="1"/>
    <n v="0"/>
    <s v="Mr. Koko"/>
    <x v="61"/>
    <s v="SPECIAL PASS OK"/>
    <m/>
  </r>
  <r>
    <m/>
    <x v="15"/>
    <x v="0"/>
    <s v="sedang"/>
    <x v="8"/>
    <s v="0FBWCC"/>
    <x v="0"/>
    <n v="1.1000000000000001"/>
    <s v="YEID"/>
    <s v="Horiba Big"/>
    <x v="99"/>
    <s v="Speed Roll Coater SPB-200 Diturunkan 2.50 ---&gt; 2.10"/>
    <m/>
    <s v="V9A3902"/>
    <s v="001 / Start Up"/>
    <s v="1 S/D 5"/>
    <n v="5"/>
    <d v="2023-09-02T00:00:00"/>
    <d v="2023-09-05T00:00:00"/>
    <s v="Closed"/>
    <n v="5"/>
    <n v="0"/>
    <s v="Mr. Koko"/>
    <x v="61"/>
    <s v="SPECIAL PASS OK"/>
    <m/>
  </r>
  <r>
    <m/>
    <x v="15"/>
    <x v="0"/>
    <s v="sedang"/>
    <x v="11"/>
    <s v="2EIWAD-O"/>
    <x v="1"/>
    <n v="1.81"/>
    <s v="META"/>
    <s v="Speed Alarm Bunyi"/>
    <x v="2"/>
    <s v="Adjust Speed Alarm CP-500 27.72 ---&gt; 27.46"/>
    <m/>
    <s v="12A3902"/>
    <s v="002"/>
    <s v="4"/>
    <n v="1"/>
    <d v="2023-09-03T00:00:00"/>
    <d v="2023-09-05T00:00:00"/>
    <s v="Closed"/>
    <n v="1"/>
    <n v="0"/>
    <s v="Mr. Koko"/>
    <x v="61"/>
    <s v="SPECIAL PASS OK"/>
    <m/>
  </r>
  <r>
    <m/>
    <x v="15"/>
    <x v="0"/>
    <s v="sedang"/>
    <x v="11"/>
    <s v="2EIWAD-O"/>
    <x v="1"/>
    <n v="1.81"/>
    <s v="META"/>
    <s v="Speed Alarm Bunyi"/>
    <x v="2"/>
    <s v="Adjust Speed Alarm CP-500 27.72 ---&gt; 27.46"/>
    <m/>
    <s v="12A3903"/>
    <s v="001"/>
    <s v="4"/>
    <n v="1"/>
    <d v="2023-09-03T00:00:00"/>
    <d v="2023-09-05T00:00:00"/>
    <s v="Closed"/>
    <n v="1"/>
    <n v="0"/>
    <s v="Mr. Koko"/>
    <x v="61"/>
    <s v="SPECIAL PASS OK"/>
    <m/>
  </r>
  <r>
    <m/>
    <x v="15"/>
    <x v="0"/>
    <s v="sedang"/>
    <x v="23"/>
    <s v="D1-PEW-B-2T"/>
    <x v="0"/>
    <n v="0.6"/>
    <s v="DMIA"/>
    <s v="OD Small"/>
    <x v="2"/>
    <s v="Siwa &amp; Adjust Tension"/>
    <m/>
    <s v="VOA3904"/>
    <s v="002 / 003"/>
    <s v="2"/>
    <n v="2"/>
    <d v="2023-09-04T00:00:00"/>
    <d v="2023-09-05T00:00:00"/>
    <s v="Closed"/>
    <n v="2"/>
    <n v="0"/>
    <s v="Mr. Koko"/>
    <x v="61"/>
    <s v="SPECIAL PASS OK"/>
    <m/>
  </r>
  <r>
    <m/>
    <x v="15"/>
    <x v="0"/>
    <s v="sedang"/>
    <x v="9"/>
    <s v="D1-PEW-B-2Y"/>
    <x v="1"/>
    <n v="0.75"/>
    <s v="SEI-ASMO"/>
    <s v="Alarm Common Tidak Bunyi"/>
    <x v="100"/>
    <s v="Repair By MTN"/>
    <m/>
    <s v="VOB3907"/>
    <s v="001"/>
    <s v="1 S/D 5"/>
    <n v="5"/>
    <d v="2023-09-07T00:00:00"/>
    <d v="2023-09-18T00:00:00"/>
    <s v="Closed"/>
    <n v="5"/>
    <n v="0"/>
    <s v="Mr. Koko"/>
    <x v="61"/>
    <s v="SPECIAL PASS OK"/>
    <m/>
  </r>
  <r>
    <m/>
    <x v="15"/>
    <x v="0"/>
    <s v="sedang"/>
    <x v="10"/>
    <s v="0FBWSHC"/>
    <x v="1"/>
    <n v="1.2"/>
    <s v="MITSUBA"/>
    <s v="Temperature Top Oven Turun"/>
    <x v="101"/>
    <s v="Breaker Dinaikkan"/>
    <m/>
    <s v="V9B3910"/>
    <s v="001"/>
    <s v="1 S/D 7"/>
    <n v="7"/>
    <d v="2023-09-10T00:00:00"/>
    <d v="2023-09-18T00:00:00"/>
    <s v="Closed"/>
    <n v="7"/>
    <n v="0"/>
    <s v="Mr. Koko"/>
    <x v="61"/>
    <s v="SPECIAL PASS OK"/>
    <m/>
  </r>
  <r>
    <m/>
    <x v="15"/>
    <x v="0"/>
    <s v="sedang"/>
    <x v="2"/>
    <s v="2EIWAD"/>
    <x v="1"/>
    <n v="1.5"/>
    <s v="MEAINA"/>
    <s v="Temperature P.B Burn Out"/>
    <x v="102"/>
    <s v="Normal Sendiri"/>
    <m/>
    <s v="V6B3910"/>
    <s v="002"/>
    <s v="1 S/D 7"/>
    <n v="7"/>
    <d v="2023-09-10T00:00:00"/>
    <d v="2023-09-18T00:00:00"/>
    <s v="Closed"/>
    <n v="7"/>
    <n v="0"/>
    <s v="Mr. Koko"/>
    <x v="61"/>
    <s v="SPECIAL PASS OK"/>
    <m/>
  </r>
  <r>
    <m/>
    <x v="15"/>
    <x v="0"/>
    <s v="sedang"/>
    <x v="0"/>
    <s v="2PEW"/>
    <x v="1"/>
    <n v="0.8"/>
    <s v="MELCO"/>
    <s v="Laser Micro Alarm"/>
    <x v="2"/>
    <s v="- Size Normal Sendiri - Dilakukan RS 6kg /Spool"/>
    <m/>
    <s v="11A3913"/>
    <s v="001"/>
    <s v="1.2.4.5"/>
    <n v="4"/>
    <d v="2023-09-13T00:00:00"/>
    <d v="2023-09-18T00:00:00"/>
    <s v="Closed"/>
    <n v="4"/>
    <n v="0"/>
    <s v="Mr. Koko"/>
    <x v="61"/>
    <s v="SPECIAL PASS OK"/>
    <m/>
  </r>
  <r>
    <m/>
    <x v="15"/>
    <x v="0"/>
    <s v="sedang"/>
    <x v="9"/>
    <s v="D2IDW4A-1"/>
    <x v="0"/>
    <n v="0.57999999999999996"/>
    <s v="TACI"/>
    <s v="DF Kecil"/>
    <x v="2"/>
    <s v="Temperature Upper / Catalyst Diturunkan 10°, dari 550° ---&gt; 540° "/>
    <m/>
    <s v="VOB3912"/>
    <s v="001"/>
    <s v="1"/>
    <n v="1"/>
    <d v="2023-09-14T00:00:00"/>
    <d v="2023-09-18T00:00:00"/>
    <s v="Closed"/>
    <n v="1"/>
    <n v="0"/>
    <s v="Mr. Koko"/>
    <x v="61"/>
    <s v="SPECIAL PASS OK"/>
    <m/>
  </r>
  <r>
    <m/>
    <x v="15"/>
    <x v="0"/>
    <s v="sedang"/>
    <x v="9"/>
    <s v="D2IDW4A-1"/>
    <x v="0"/>
    <n v="0.57999999999999996"/>
    <s v="TACI"/>
    <s v="DF Kecil"/>
    <x v="2"/>
    <s v="Temperature Upper / Catalyst Diturunkan 10°, dari 550° ---&gt; 540° "/>
    <m/>
    <s v="VOB3913"/>
    <s v="001"/>
    <s v="1"/>
    <n v="5"/>
    <d v="2023-09-14T00:00:00"/>
    <d v="2023-09-18T00:00:00"/>
    <s v="Closed"/>
    <n v="5"/>
    <n v="0"/>
    <s v="Mr. Koko"/>
    <x v="61"/>
    <s v="SPECIAL PASS OK"/>
    <m/>
  </r>
  <r>
    <m/>
    <x v="15"/>
    <x v="0"/>
    <s v="sedang"/>
    <x v="23"/>
    <s v="D1-PEW-B-2T"/>
    <x v="1"/>
    <n v="0.6"/>
    <s v="DMIA"/>
    <s v="Wire Line Out Sheave"/>
    <x v="2"/>
    <s v="Cek Pass Line"/>
    <m/>
    <s v="VOA3910"/>
    <s v="002"/>
    <s v="2"/>
    <n v="1"/>
    <d v="2023-09-10T00:00:00"/>
    <d v="2023-09-18T00:00:00"/>
    <s v="Closed"/>
    <n v="1"/>
    <n v="0"/>
    <s v="Mr. Koko"/>
    <x v="61"/>
    <s v="SPECIAL PASS OK"/>
    <m/>
  </r>
  <r>
    <m/>
    <x v="15"/>
    <x v="0"/>
    <s v="sedang"/>
    <x v="0"/>
    <s v="2PEW"/>
    <x v="1"/>
    <n v="0.8"/>
    <s v="MELCO"/>
    <s v="Laser Micro Alarm"/>
    <x v="96"/>
    <m/>
    <m/>
    <s v="11A3909"/>
    <s v="003"/>
    <s v="4"/>
    <n v="1"/>
    <d v="2023-09-13T00:00:00"/>
    <d v="2023-09-19T00:00:00"/>
    <s v="Closed"/>
    <n v="1"/>
    <n v="0"/>
    <s v="Mr. Koko"/>
    <x v="61"/>
    <s v="SPECIAL PASS OK"/>
    <m/>
  </r>
  <r>
    <m/>
    <x v="15"/>
    <x v="0"/>
    <s v="sedang"/>
    <x v="23"/>
    <s v="D1-PEW-B2T"/>
    <x v="1"/>
    <n v="0.6"/>
    <s v="DMIA"/>
    <s v="Wire Break"/>
    <x v="2"/>
    <s v="Repair Upper Sheave"/>
    <m/>
    <s v="VOA3913"/>
    <s v="002"/>
    <s v="1 S/D 5"/>
    <n v="5"/>
    <d v="2023-09-13T00:00:00"/>
    <d v="2023-09-18T00:00:00"/>
    <s v="Closed"/>
    <n v="5"/>
    <n v="0"/>
    <s v="Mr. Koko"/>
    <x v="61"/>
    <s v="SPECIAL PASS OK"/>
    <m/>
  </r>
  <r>
    <m/>
    <x v="15"/>
    <x v="0"/>
    <s v="sedang"/>
    <x v="16"/>
    <s v="1HGZ-MA"/>
    <x v="1"/>
    <n v="1.18"/>
    <s v="LAMCOR"/>
    <s v="Alarm Primary Coat"/>
    <x v="2"/>
    <s v="Tidak Ada Dies yang Naik"/>
    <m/>
    <s v="V6A3928"/>
    <s v="003"/>
    <s v="1 S/D 5"/>
    <n v="5"/>
    <d v="2023-09-28T00:00:00"/>
    <d v="2023-09-29T00:00:00"/>
    <s v="Closed"/>
    <n v="5"/>
    <n v="0"/>
    <s v="Mr. Koko"/>
    <x v="61"/>
    <s v="SPECIAL PASS OK"/>
    <m/>
  </r>
  <r>
    <m/>
    <x v="15"/>
    <x v="0"/>
    <s v="sedang"/>
    <x v="0"/>
    <s v="D2-IDW-4E"/>
    <x v="0"/>
    <n v="0.83"/>
    <s v="DENSO FAJAR"/>
    <s v="DF Big"/>
    <x v="2"/>
    <m/>
    <m/>
    <s v="11A3928"/>
    <s v="005"/>
    <s v="1 S/D 5"/>
    <n v="5"/>
    <d v="2023-09-29T00:00:00"/>
    <d v="2023-09-29T00:00:00"/>
    <s v="Closed"/>
    <n v="5"/>
    <n v="0"/>
    <s v="Mr. Koko"/>
    <x v="61"/>
    <s v="SPECIAL PASS OK"/>
    <m/>
  </r>
  <r>
    <m/>
    <x v="15"/>
    <x v="0"/>
    <s v="sedang"/>
    <x v="9"/>
    <s v="D2IDW-4-B-2"/>
    <x v="0"/>
    <n v="0.7"/>
    <s v="DMIA / WIN-A (DMNC-S)"/>
    <s v="Horiba Big"/>
    <x v="2"/>
    <s v="Mc Stop"/>
    <m/>
    <s v="VOB3928"/>
    <s v="003"/>
    <s v="1 S/D 5"/>
    <n v="5"/>
    <d v="2023-09-29T00:00:00"/>
    <d v="2023-09-29T00:00:00"/>
    <s v="Closed"/>
    <n v="5"/>
    <n v="0"/>
    <s v="Mr. Koko"/>
    <x v="61"/>
    <s v="SPECIAL PASS OK"/>
    <m/>
  </r>
  <r>
    <m/>
    <x v="15"/>
    <x v="0"/>
    <s v="sedang"/>
    <x v="16"/>
    <s v="1HGZ-MA"/>
    <x v="1"/>
    <n v="1.18"/>
    <s v="LAMCOR"/>
    <s v="Alarm Primary Coat"/>
    <x v="2"/>
    <s v="Tidak Ada Dies Naik"/>
    <m/>
    <s v="V6A3921"/>
    <s v="001"/>
    <s v="1 S/D 5"/>
    <n v="5"/>
    <d v="2023-09-21T00:00:00"/>
    <d v="2023-09-29T00:00:00"/>
    <s v="Closed"/>
    <n v="5"/>
    <n v="0"/>
    <s v="Mr. Koko"/>
    <x v="61"/>
    <s v="SPECIAL PASS OK"/>
    <m/>
  </r>
  <r>
    <m/>
    <x v="15"/>
    <x v="0"/>
    <s v="sedang"/>
    <x v="11"/>
    <s v="2EIWAD-O"/>
    <x v="1"/>
    <n v="1.81"/>
    <s v="MEAA-OH"/>
    <s v="Laser Micro Alarm"/>
    <x v="2"/>
    <s v="Normal Sendiri"/>
    <m/>
    <s v="12A3921"/>
    <s v="002"/>
    <s v="2"/>
    <n v="1"/>
    <d v="2023-09-22T00:00:00"/>
    <d v="2023-09-27T00:00:00"/>
    <s v="Closed"/>
    <n v="1"/>
    <n v="0"/>
    <s v="Mr. Koko"/>
    <x v="61"/>
    <s v="SPECIAL PASS OK"/>
    <m/>
  </r>
  <r>
    <m/>
    <x v="15"/>
    <x v="0"/>
    <s v="sedang"/>
    <x v="23"/>
    <s v="D2DSW2"/>
    <x v="1"/>
    <n v="0.5"/>
    <s v="HAMADEN"/>
    <s v="Spooler Mati"/>
    <x v="2"/>
    <s v="Action Reset Tombol Run ---&gt; Spooler Ok"/>
    <m/>
    <s v="VOA3915"/>
    <s v="002"/>
    <s v="1 S/D 5"/>
    <n v="5"/>
    <d v="2023-09-16T00:00:00"/>
    <d v="2023-09-26T00:00:00"/>
    <s v="Closed"/>
    <n v="5"/>
    <n v="0"/>
    <s v="Mr. Koko"/>
    <x v="61"/>
    <s v="SPECIAL PASS OK"/>
    <m/>
  </r>
  <r>
    <m/>
    <x v="15"/>
    <x v="0"/>
    <s v="sedang"/>
    <x v="23"/>
    <s v="D1-PEW-B-2T"/>
    <x v="0"/>
    <n v="0.6"/>
    <s v="DMIA"/>
    <s v="Gotsu - Gotsu"/>
    <x v="2"/>
    <s v="Siwa &amp; Rotary Inline Dies"/>
    <m/>
    <s v="VOA3902"/>
    <s v="003 / 004"/>
    <s v="5"/>
    <n v="2"/>
    <d v="2023-09-03T00:00:00"/>
    <d v="2023-09-27T00:00:00"/>
    <s v="Closed"/>
    <n v="0"/>
    <n v="2"/>
    <s v="Mr. Koko"/>
    <x v="61"/>
    <s v="PRODUCT DISCRAPE"/>
    <m/>
  </r>
  <r>
    <m/>
    <x v="15"/>
    <x v="0"/>
    <s v="sedang"/>
    <x v="17"/>
    <s v="D2IDW-4-B-2"/>
    <x v="1"/>
    <n v="0.46"/>
    <s v="DMIA"/>
    <s v="Print Out Macet"/>
    <x v="103"/>
    <s v="Ganti Kertas Print Out"/>
    <m/>
    <s v="V4B3917"/>
    <s v="002"/>
    <s v="1 S/D 10"/>
    <n v="10"/>
    <d v="2023-09-18T00:00:00"/>
    <d v="2023-09-26T00:00:00"/>
    <s v="Closed"/>
    <n v="10"/>
    <n v="0"/>
    <s v="Mr. Koko"/>
    <x v="61"/>
    <s v="SPECIAL PASS OK"/>
    <m/>
  </r>
  <r>
    <m/>
    <x v="15"/>
    <x v="0"/>
    <s v="sedang"/>
    <x v="9"/>
    <s v="D2IDW4A-1"/>
    <x v="0"/>
    <n v="0.57999999999999996"/>
    <s v="TACI"/>
    <s v="CD Scratch"/>
    <x v="2"/>
    <s v="Rotary Inline Dies &amp; Siwa"/>
    <m/>
    <s v="VOB3912 / VOB3913"/>
    <s v="001 / 002"/>
    <s v="5"/>
    <n v="2"/>
    <d v="2023-09-14T00:00:00"/>
    <d v="2023-09-27T00:00:00"/>
    <s v="Closed"/>
    <n v="2"/>
    <n v="0"/>
    <s v="Mr. Koko"/>
    <x v="61"/>
    <s v="SPECIAL PASS OK"/>
    <m/>
  </r>
  <r>
    <m/>
    <x v="15"/>
    <x v="0"/>
    <s v="sedang"/>
    <x v="11"/>
    <s v="2EIWAD-O"/>
    <x v="1"/>
    <n v="1.81"/>
    <s v="MEAA-OH"/>
    <s v="CP-500 Bagian Samping Robek"/>
    <x v="104"/>
    <s v="Cek Pengunci Ketika Akan Spool Change"/>
    <m/>
    <s v="12A3919"/>
    <s v="001"/>
    <s v="5"/>
    <n v="1"/>
    <d v="2023-09-19T00:00:00"/>
    <d v="2023-09-25T00:00:00"/>
    <s v="Closed"/>
    <n v="1"/>
    <n v="0"/>
    <s v="Mr. Koko"/>
    <x v="61"/>
    <s v="SPECIAL PASS OK"/>
    <m/>
  </r>
  <r>
    <m/>
    <x v="15"/>
    <x v="0"/>
    <s v="sedang"/>
    <x v="1"/>
    <s v="2PEW"/>
    <x v="0"/>
    <n v="0.85"/>
    <s v="MELCO"/>
    <s v="Parafin"/>
    <x v="2"/>
    <m/>
    <m/>
    <s v="11B3920"/>
    <s v="003"/>
    <s v="5"/>
    <n v="1"/>
    <d v="2023-09-21T00:00:00"/>
    <d v="2023-09-25T00:00:00"/>
    <s v="Closed"/>
    <n v="1"/>
    <n v="0"/>
    <s v="Mr. Koko"/>
    <x v="61"/>
    <s v="SPECIAL PASS OK"/>
    <m/>
  </r>
  <r>
    <m/>
    <x v="15"/>
    <x v="0"/>
    <s v="sedang"/>
    <x v="2"/>
    <s v="2EIWAD-O"/>
    <x v="1"/>
    <n v="1.65"/>
    <s v="MEAA-OH"/>
    <s v="Pressure Box Burnout"/>
    <x v="2"/>
    <s v="Normal Sendiri"/>
    <m/>
    <s v="V6B3917"/>
    <s v="001"/>
    <s v="1 S/D 6"/>
    <n v="6"/>
    <d v="2023-09-18T00:00:00"/>
    <d v="2023-09-22T00:00:00"/>
    <s v="Closed"/>
    <n v="6"/>
    <n v="0"/>
    <s v="Mr. Koko"/>
    <x v="61"/>
    <s v="SPECIAL PASS OK"/>
    <m/>
  </r>
  <r>
    <m/>
    <x v="15"/>
    <x v="0"/>
    <s v="sedang"/>
    <x v="2"/>
    <s v="2EIWAD-O"/>
    <x v="1"/>
    <n v="1.65"/>
    <s v="MEAA-OH"/>
    <s v="FB Burnout"/>
    <x v="2"/>
    <s v="Adjust Socket Thermocouple PB ---&gt; Temp. PB Ok"/>
    <m/>
    <s v="V6B3914"/>
    <s v="001"/>
    <s v="1 S/D 6"/>
    <n v="6"/>
    <d v="2023-09-15T00:00:00"/>
    <d v="2023-09-22T00:00:00"/>
    <s v="Closed"/>
    <n v="6"/>
    <n v="0"/>
    <s v="Mr. Koko"/>
    <x v="61"/>
    <s v="SPECIAL PASS OK"/>
    <m/>
  </r>
  <r>
    <m/>
    <x v="15"/>
    <x v="0"/>
    <s v="sedang"/>
    <x v="9"/>
    <s v="D2IDW-4-B-2"/>
    <x v="0"/>
    <n v="0.7"/>
    <s v="DMIA"/>
    <s v="Horiba Big"/>
    <x v="2"/>
    <s v="Sample Ulang"/>
    <m/>
    <s v="VOB3922"/>
    <s v="004"/>
    <s v="1 S/D 5"/>
    <n v="5"/>
    <d v="2023-09-23T00:00:00"/>
    <d v="2023-09-26T00:00:00"/>
    <s v="Closed"/>
    <n v="5"/>
    <n v="0"/>
    <s v="Mr. Koko"/>
    <x v="61"/>
    <s v="SPECIAL PASS OK"/>
    <m/>
  </r>
  <r>
    <m/>
    <x v="15"/>
    <x v="0"/>
    <s v="sedang"/>
    <x v="1"/>
    <s v="D1PEW-B-2Y"/>
    <x v="0"/>
    <n v="0.9"/>
    <s v="DMIA"/>
    <s v="Horiba Big"/>
    <x v="2"/>
    <s v="Cleaning Sheave Makitori"/>
    <m/>
    <s v="11B3922"/>
    <s v="005"/>
    <s v="1 S/D 5"/>
    <n v="5"/>
    <d v="2023-09-23T00:00:00"/>
    <d v="2023-09-26T00:00:00"/>
    <s v="Closed"/>
    <n v="5"/>
    <n v="0"/>
    <s v="Mr. Koko"/>
    <x v="61"/>
    <s v="SPECIAL PASS OK"/>
    <m/>
  </r>
  <r>
    <m/>
    <x v="15"/>
    <x v="0"/>
    <s v="sedang"/>
    <x v="1"/>
    <s v="2PEW"/>
    <x v="1"/>
    <n v="0.85"/>
    <s v="MELCO"/>
    <s v="Laser Micro Alarm"/>
    <x v="2"/>
    <s v="Mesin Tidak Ada Alarm"/>
    <m/>
    <s v="11B3918"/>
    <s v="002"/>
    <s v="1"/>
    <n v="1"/>
    <d v="2023-09-20T00:00:00"/>
    <d v="2023-09-26T00:00:00"/>
    <s v="Closed"/>
    <n v="1"/>
    <n v="0"/>
    <s v="Mr. Koko"/>
    <x v="61"/>
    <s v="SPECIAL PASS OK"/>
    <m/>
  </r>
  <r>
    <m/>
    <x v="15"/>
    <x v="0"/>
    <s v="sedang"/>
    <x v="11"/>
    <s v="2EIWAD-O"/>
    <x v="1"/>
    <n v="1.81"/>
    <s v="MEAA-OH"/>
    <s v="Wire Kusut"/>
    <x v="2"/>
    <s v="Adjust Newlite T/U CP-500"/>
    <m/>
    <s v="12A3921"/>
    <s v="001"/>
    <s v="3"/>
    <n v="1"/>
    <d v="2023-09-22T00:00:00"/>
    <d v="2023-09-26T00:00:00"/>
    <s v="Closed"/>
    <n v="1"/>
    <n v="0"/>
    <s v="Mr. Koko"/>
    <x v="61"/>
    <s v="SPECIAL PASS OK"/>
    <m/>
  </r>
  <r>
    <m/>
    <x v="15"/>
    <x v="0"/>
    <s v="sedang"/>
    <x v="23"/>
    <s v="D2DSW2"/>
    <x v="1"/>
    <n v="0.5"/>
    <s v="HAMADEN"/>
    <s v="Wire Break"/>
    <x v="44"/>
    <s v="Cleaning Slit Pressure Box &amp; Coaling Zone"/>
    <m/>
    <s v="VOA3918"/>
    <s v="002"/>
    <s v="1 S/D 4"/>
    <n v="4"/>
    <d v="2023-09-18T00:00:00"/>
    <d v="2023-09-26T00:00:00"/>
    <s v="Closed"/>
    <n v="4"/>
    <n v="0"/>
    <s v="Mr. Koko"/>
    <x v="61"/>
    <s v="SPECIAL PASS OK"/>
    <m/>
  </r>
  <r>
    <m/>
    <x v="15"/>
    <x v="0"/>
    <s v="sedang"/>
    <x v="6"/>
    <s v="D2DSW2"/>
    <x v="0"/>
    <n v="0.5"/>
    <s v="HAMADEN"/>
    <s v="OD CD Small"/>
    <x v="2"/>
    <s v="Tension Diperlemah"/>
    <m/>
    <s v="V8D3928"/>
    <s v="003"/>
    <s v="2"/>
    <n v="1"/>
    <d v="2023-09-29T00:00:00"/>
    <d v="2023-10-04T00:00:00"/>
    <s v="Closed"/>
    <n v="1"/>
    <n v="0"/>
    <s v="Mr. Koko"/>
    <x v="61"/>
    <s v="SPECIAL PASS OK"/>
    <m/>
  </r>
  <r>
    <m/>
    <x v="15"/>
    <x v="0"/>
    <s v="sedang"/>
    <x v="0"/>
    <s v="2PEW"/>
    <x v="1"/>
    <n v="0.8"/>
    <s v="MELCO"/>
    <s v="Laser Micro Alarm"/>
    <x v="2"/>
    <m/>
    <m/>
    <s v="11A3911"/>
    <s v="002"/>
    <s v="5"/>
    <n v="1"/>
    <d v="2023-09-27T00:00:00"/>
    <d v="2023-10-09T00:00:00"/>
    <s v="Closed"/>
    <n v="1"/>
    <n v="0"/>
    <s v="Mr. Koko"/>
    <x v="61"/>
    <s v="SPECIAL PASS OK"/>
    <m/>
  </r>
  <r>
    <m/>
    <x v="15"/>
    <x v="0"/>
    <s v="sedang"/>
    <x v="23"/>
    <s v="D2DSW2"/>
    <x v="1"/>
    <n v="0.5"/>
    <s v="HAMADEN"/>
    <s v="Rolling CD Scratch "/>
    <x v="2"/>
    <s v="Change Dies 1Set"/>
    <m/>
    <s v="VOA3916"/>
    <s v="001 / 002"/>
    <s v="5"/>
    <n v="2"/>
    <d v="2023-09-16T00:00:00"/>
    <d v="2023-10-09T00:00:00"/>
    <s v="Closed"/>
    <n v="2"/>
    <n v="0"/>
    <s v="Mr. Koko"/>
    <x v="61"/>
    <s v="SPECIAL PASS OK"/>
    <m/>
  </r>
  <r>
    <m/>
    <x v="15"/>
    <x v="0"/>
    <s v="sedang"/>
    <x v="6"/>
    <s v="D2DSW2"/>
    <x v="0"/>
    <n v="0.5"/>
    <s v="HAMADEN"/>
    <s v="Powder"/>
    <x v="2"/>
    <s v="Cleaning C/D Dies"/>
    <m/>
    <s v="V8D3926"/>
    <s v="002"/>
    <s v="3"/>
    <n v="1"/>
    <d v="2023-09-27T00:00:00"/>
    <d v="2023-10-09T00:00:00"/>
    <s v="Closed"/>
    <n v="1"/>
    <n v="0"/>
    <s v="Mr. Koko"/>
    <x v="61"/>
    <s v="SPECIAL PASS OK"/>
    <m/>
  </r>
  <r>
    <m/>
    <x v="15"/>
    <x v="0"/>
    <s v="sedang"/>
    <x v="23"/>
    <s v="D2DSW2"/>
    <x v="1"/>
    <n v="0.5"/>
    <s v="HAMADEN"/>
    <s v="Rolling CD Scratch "/>
    <x v="2"/>
    <s v="Rotary Inline Dies &amp; Siwa"/>
    <m/>
    <s v="VOA3915"/>
    <s v="001 / 002"/>
    <s v="5"/>
    <n v="2"/>
    <d v="2023-09-16T00:00:00"/>
    <d v="2023-10-09T00:00:00"/>
    <s v="Closed"/>
    <n v="2"/>
    <n v="0"/>
    <s v="Mr. Koko"/>
    <x v="61"/>
    <s v="SPECIAL PASS OK"/>
    <m/>
  </r>
  <r>
    <m/>
    <x v="15"/>
    <x v="0"/>
    <s v="sedang"/>
    <x v="23"/>
    <s v="D2DSW2"/>
    <x v="0"/>
    <n v="0.5"/>
    <s v="HAMADEN"/>
    <s v="Blister"/>
    <x v="44"/>
    <s v="Cleaning Slit Pressure Box"/>
    <m/>
    <s v="VOA3918"/>
    <s v="001"/>
    <s v="4"/>
    <n v="1"/>
    <d v="2023-09-18T00:00:00"/>
    <d v="2023-09-21T00:00:00"/>
    <s v="Closed"/>
    <n v="0"/>
    <n v="1"/>
    <s v="Mr. Koko"/>
    <x v="61"/>
    <s v="PRODUCT DISCRAPE"/>
    <m/>
  </r>
  <r>
    <m/>
    <x v="15"/>
    <x v="0"/>
    <s v="sedang"/>
    <x v="7"/>
    <s v="D2DSW2"/>
    <x v="0"/>
    <n v="0.5"/>
    <s v="HAMADEN"/>
    <s v="Blister"/>
    <x v="2"/>
    <s v="Next T/U Ok"/>
    <m/>
    <s v="V4A3916"/>
    <s v="002"/>
    <s v="4"/>
    <n v="1"/>
    <d v="2023-09-19T00:00:00"/>
    <d v="2023-09-21T00:00:00"/>
    <s v="Closed"/>
    <n v="1"/>
    <n v="0"/>
    <s v="Mr. Koko"/>
    <x v="61"/>
    <s v="SPECIAL PASS OK"/>
    <m/>
  </r>
  <r>
    <m/>
    <x v="15"/>
    <x v="0"/>
    <s v="sedang"/>
    <x v="7"/>
    <s v="D2DSW2"/>
    <x v="0"/>
    <n v="0.5"/>
    <s v="HAMADEN"/>
    <s v="App Blister"/>
    <x v="2"/>
    <m/>
    <m/>
    <s v="V4A3916"/>
    <s v="002"/>
    <s v="5"/>
    <n v="1"/>
    <d v="2023-09-17T00:00:00"/>
    <d v="2023-09-21T00:00:00"/>
    <s v="Closed"/>
    <n v="0"/>
    <n v="1"/>
    <s v="Mr. Koko"/>
    <x v="61"/>
    <s v="PRODUCT DISCRAPE"/>
    <m/>
  </r>
  <r>
    <m/>
    <x v="15"/>
    <x v="1"/>
    <s v="sedang"/>
    <x v="14"/>
    <s v="D2IDW4-B-2"/>
    <x v="0"/>
    <n v="0.26"/>
    <s v="DMIA"/>
    <s v="OD Small"/>
    <x v="105"/>
    <s v="Ganti Susunan Step Dies Coating"/>
    <m/>
    <s v="H2A3912"/>
    <s v="001"/>
    <s v="2"/>
    <n v="1"/>
    <d v="2023-09-12T00:00:00"/>
    <d v="2023-09-21T00:00:00"/>
    <s v="Closed"/>
    <n v="1"/>
    <n v="0"/>
    <s v="Mr. Koko"/>
    <x v="61"/>
    <s v="SPECIAL PASS OK"/>
    <m/>
  </r>
  <r>
    <m/>
    <x v="15"/>
    <x v="1"/>
    <s v="sedang"/>
    <x v="22"/>
    <s v="D2IDW4-B-2"/>
    <x v="0"/>
    <n v="0.25"/>
    <s v="DMIA"/>
    <s v="OD Big"/>
    <x v="106"/>
    <s v="Change Step Dies Coating"/>
    <m/>
    <s v="H2B3912"/>
    <s v="001"/>
    <s v="4"/>
    <n v="1"/>
    <d v="2023-09-12T00:00:00"/>
    <d v="2023-09-21T00:00:00"/>
    <s v="Closed"/>
    <n v="1"/>
    <n v="0"/>
    <s v="Mr. Koko"/>
    <x v="61"/>
    <s v="SPECIAL PASS OK"/>
    <m/>
  </r>
  <r>
    <m/>
    <x v="15"/>
    <x v="1"/>
    <s v="sedang"/>
    <x v="22"/>
    <s v="D2IDW4-B-2"/>
    <x v="0"/>
    <n v="0.25"/>
    <s v="DMIA"/>
    <s v="OD Big"/>
    <x v="2"/>
    <s v="Adjust T/U Tension"/>
    <m/>
    <s v="H2B3911"/>
    <s v="001"/>
    <s v="4"/>
    <n v="1"/>
    <d v="2023-09-12T00:00:00"/>
    <d v="2023-09-21T00:00:00"/>
    <s v="Closed"/>
    <n v="1"/>
    <n v="0"/>
    <s v="Mr. Koko"/>
    <x v="61"/>
    <s v="SPECIAL PASS OK"/>
    <m/>
  </r>
  <r>
    <m/>
    <x v="15"/>
    <x v="1"/>
    <s v="sedang"/>
    <x v="22"/>
    <s v="D2IDW4-B-2"/>
    <x v="0"/>
    <n v="0.25"/>
    <s v="DMIA"/>
    <s v="OD Big &amp; Tidak Ada Ekor"/>
    <x v="2"/>
    <s v="Change Step Dies Coating"/>
    <m/>
    <s v="H2B3914"/>
    <s v="002 / 001"/>
    <s v="4 / 3"/>
    <n v="2"/>
    <d v="2023-09-15T00:00:00"/>
    <d v="2023-09-21T00:00:00"/>
    <s v="Closed"/>
    <n v="2"/>
    <n v="0"/>
    <s v="Mr. Koko"/>
    <x v="61"/>
    <s v="SPECIAL PASS OK"/>
    <m/>
  </r>
  <r>
    <m/>
    <x v="15"/>
    <x v="1"/>
    <s v="sedang"/>
    <x v="14"/>
    <s v="D2IDW4-B-2"/>
    <x v="0"/>
    <n v="0.26"/>
    <s v="DMIA"/>
    <s v="OD Small &amp; CD Small"/>
    <x v="2"/>
    <s v="Cek &amp; Adjust T/U"/>
    <m/>
    <s v="H2A3912"/>
    <s v="001"/>
    <s v="4"/>
    <n v="1"/>
    <d v="2023-09-13T00:00:00"/>
    <d v="2023-09-14T00:00:00"/>
    <s v="Closed"/>
    <n v="1"/>
    <n v="0"/>
    <s v="Mr. Koko"/>
    <x v="61"/>
    <s v="SPECIAL PASS OK"/>
    <m/>
  </r>
  <r>
    <m/>
    <x v="15"/>
    <x v="1"/>
    <s v="sedang"/>
    <x v="22"/>
    <s v="D2IDW4-B-2"/>
    <x v="0"/>
    <n v="0.25"/>
    <s v="DMIA"/>
    <s v="OD Big"/>
    <x v="2"/>
    <s v="Ganti Dies Coating"/>
    <m/>
    <s v="H2B3912"/>
    <s v="002"/>
    <s v="4"/>
    <n v="1"/>
    <d v="2023-09-14T00:00:00"/>
    <d v="2023-09-14T00:00:00"/>
    <s v="Closed"/>
    <n v="1"/>
    <n v="0"/>
    <s v="Mr. Koko"/>
    <x v="61"/>
    <s v="SPECIAL PASS OK"/>
    <m/>
  </r>
  <r>
    <m/>
    <x v="15"/>
    <x v="1"/>
    <s v="sedang"/>
    <x v="14"/>
    <s v="D2IDW4-B-2"/>
    <x v="0"/>
    <n v="0.26"/>
    <s v="DMIA"/>
    <s v="OD Small"/>
    <x v="2"/>
    <s v="Cek Next T/U"/>
    <m/>
    <s v="H2A3913"/>
    <s v="001"/>
    <s v="1"/>
    <n v="1"/>
    <d v="2023-09-13T00:00:00"/>
    <d v="2023-09-14T00:00:00"/>
    <s v="Closed"/>
    <n v="1"/>
    <n v="0"/>
    <s v="Mr. Koko"/>
    <x v="61"/>
    <s v="SPECIAL PASS OK"/>
    <m/>
  </r>
  <r>
    <m/>
    <x v="15"/>
    <x v="1"/>
    <s v="sedang"/>
    <x v="14"/>
    <s v="2-ATZ-300"/>
    <x v="0"/>
    <n v="0.37"/>
    <s v="TOYODENSO VIETNAM"/>
    <s v="OD Big"/>
    <x v="2"/>
    <s v="Setting Tension"/>
    <m/>
    <s v="H2A3907"/>
    <s v="002"/>
    <s v="4"/>
    <n v="1"/>
    <d v="2023-09-06T00:00:00"/>
    <d v="2023-09-12T00:00:00"/>
    <s v="Closed"/>
    <n v="1"/>
    <n v="0"/>
    <s v="Mr. Koko"/>
    <x v="61"/>
    <s v="SPECIAL PASS OK"/>
    <m/>
  </r>
  <r>
    <m/>
    <x v="15"/>
    <x v="1"/>
    <s v="sedang"/>
    <x v="14"/>
    <s v="2-ATZ-300"/>
    <x v="0"/>
    <n v="0.35"/>
    <s v="TOYODENSO VIETNAM"/>
    <s v="Dimension"/>
    <x v="2"/>
    <s v="Ganti FD"/>
    <m/>
    <s v="H2A3904"/>
    <s v="001 / 002"/>
    <s v="4 / 4"/>
    <n v="2"/>
    <d v="2023-09-05T00:00:00"/>
    <d v="2023-09-08T00:00:00"/>
    <s v="Closed"/>
    <n v="2"/>
    <n v="0"/>
    <s v="Mr. Koko"/>
    <x v="61"/>
    <s v="SPECIAL PASS OK"/>
    <m/>
  </r>
  <r>
    <m/>
    <x v="15"/>
    <x v="1"/>
    <s v="sedang"/>
    <x v="22"/>
    <s v="D2IDW4-B-2"/>
    <x v="0"/>
    <n v="0.31"/>
    <s v="DMIA"/>
    <s v="OD Big"/>
    <x v="107"/>
    <m/>
    <m/>
    <s v="H2B3901"/>
    <s v="001 / 002"/>
    <s v="3"/>
    <n v="2"/>
    <d v="2023-09-03T00:00:00"/>
    <d v="2023-09-27T00:00:00"/>
    <s v="Closed"/>
    <n v="2"/>
    <n v="0"/>
    <s v="Mr. Koko"/>
    <x v="61"/>
    <s v="SPECIAL PASS OK"/>
    <m/>
  </r>
  <r>
    <m/>
    <x v="15"/>
    <x v="1"/>
    <s v="sedang"/>
    <x v="20"/>
    <s v="D2IDW4-B-2"/>
    <x v="0"/>
    <n v="0.26"/>
    <s v="SEI-ASMO"/>
    <s v="OD Small"/>
    <x v="108"/>
    <s v="Set Tension"/>
    <m/>
    <s v="H1A3925"/>
    <s v="001"/>
    <s v="4"/>
    <n v="1"/>
    <d v="2023-09-26T00:00:00"/>
    <d v="2023-09-29T00:00:00"/>
    <s v="Closed"/>
    <n v="1"/>
    <n v="0"/>
    <s v="Mr. Koko"/>
    <x v="61"/>
    <s v="SPECIAL PASS OK"/>
    <m/>
  </r>
  <r>
    <m/>
    <x v="15"/>
    <x v="1"/>
    <s v="sedang"/>
    <x v="12"/>
    <s v="1AIW"/>
    <x v="0"/>
    <n v="0.28999999999999998"/>
    <s v="NDKI"/>
    <s v="Horiba Big"/>
    <x v="109"/>
    <s v="Speed Roll Coater Oil Diturunkan300Rpm ---&gt; 2.60Rpm"/>
    <m/>
    <s v="H3A / B3927"/>
    <s v="Start Up"/>
    <s v="1"/>
    <n v="2"/>
    <d v="2023-09-27T00:00:00"/>
    <d v="2023-10-04T00:00:00"/>
    <s v="Closed"/>
    <n v="2"/>
    <n v="0"/>
    <s v="Mr. Koko"/>
    <x v="61"/>
    <s v="SPECIAL PASS OK"/>
    <m/>
  </r>
  <r>
    <m/>
    <x v="15"/>
    <x v="1"/>
    <s v="sedang"/>
    <x v="18"/>
    <s v="D2IDW4-B-2"/>
    <x v="0"/>
    <n v="0.26"/>
    <s v="SEI-ASMO"/>
    <s v="OD Small"/>
    <x v="110"/>
    <s v="Ganti Dies Coating"/>
    <m/>
    <s v="H1B3927"/>
    <s v="001 / 002"/>
    <s v="2 / 1"/>
    <n v="2"/>
    <d v="2023-09-28T00:00:00"/>
    <d v="2023-10-04T00:00:00"/>
    <s v="Closed"/>
    <n v="2"/>
    <n v="0"/>
    <s v="Mr. Koko"/>
    <x v="61"/>
    <s v="SPECIAL PASS OK"/>
    <m/>
  </r>
  <r>
    <m/>
    <x v="15"/>
    <x v="1"/>
    <s v="sedang"/>
    <x v="18"/>
    <s v="D2IDW4-B-2"/>
    <x v="0"/>
    <n v="0.26"/>
    <s v="SEI-ASMO"/>
    <s v="OD Small"/>
    <x v="21"/>
    <s v="Ganti Dies"/>
    <m/>
    <s v="H1B3926"/>
    <s v="001"/>
    <s v="2"/>
    <n v="1"/>
    <d v="2023-09-27T00:00:00"/>
    <d v="2023-10-04T00:00:00"/>
    <s v="Closed"/>
    <n v="1"/>
    <n v="0"/>
    <s v="Mr. Koko"/>
    <x v="61"/>
    <s v="SPECIAL PASS OK"/>
    <m/>
  </r>
  <r>
    <m/>
    <x v="15"/>
    <x v="1"/>
    <s v="sedang"/>
    <x v="14"/>
    <s v="D2IDW4-B-2"/>
    <x v="0"/>
    <n v="0.26"/>
    <s v="SEI-ASMO"/>
    <s v="ECC Big &amp; OD Small"/>
    <x v="21"/>
    <s v="Ganti Dies &amp; Adjust T/U Tension"/>
    <m/>
    <s v="H2A3926"/>
    <s v="001 / 002"/>
    <s v="3 / 3"/>
    <n v="2"/>
    <d v="2023-09-27T00:00:00"/>
    <d v="2023-10-04T00:00:00"/>
    <s v="Closed"/>
    <n v="2"/>
    <n v="0"/>
    <s v="Mr. Koko"/>
    <x v="61"/>
    <s v="SPECIAL PASS OK"/>
    <m/>
  </r>
  <r>
    <m/>
    <x v="15"/>
    <x v="1"/>
    <s v="sedang"/>
    <x v="18"/>
    <s v="D2IDW4-B-2"/>
    <x v="0"/>
    <n v="0.26"/>
    <s v="SEI-ASMO"/>
    <s v="OD Small &amp; ECC Big"/>
    <x v="21"/>
    <s v="Ganti Dies Coating"/>
    <m/>
    <s v="H1B3925"/>
    <s v="001"/>
    <s v="3"/>
    <n v="1"/>
    <d v="2023-09-27T00:00:00"/>
    <d v="2023-10-04T00:00:00"/>
    <s v="Closed"/>
    <n v="1"/>
    <n v="0"/>
    <s v="Mr. Koko"/>
    <x v="61"/>
    <s v="SPECIAL PASS OK"/>
    <m/>
  </r>
  <r>
    <m/>
    <x v="15"/>
    <x v="1"/>
    <s v="sedang"/>
    <x v="18"/>
    <s v="D2IDW4-B-2"/>
    <x v="0"/>
    <n v="0.26"/>
    <s v="SEI-ASMO"/>
    <s v="APP NG &amp; OD Hempei"/>
    <x v="111"/>
    <s v="Adjust Winding Traverse"/>
    <m/>
    <s v="H1B3928"/>
    <s v="002"/>
    <s v="5"/>
    <n v="1"/>
    <d v="2023-10-02T00:00:00"/>
    <d v="2023-10-05T00:00:00"/>
    <s v="Closed"/>
    <n v="1"/>
    <n v="0"/>
    <s v="Mr. Koko"/>
    <x v="61"/>
    <s v="SPECIAL PASS OK"/>
    <m/>
  </r>
  <r>
    <m/>
    <x v="15"/>
    <x v="1"/>
    <s v="sedang"/>
    <x v="18"/>
    <s v="D2IDW4-B-2"/>
    <x v="0"/>
    <n v="0.26"/>
    <s v="SEI-ASMO"/>
    <s v="OD Big"/>
    <x v="112"/>
    <m/>
    <m/>
    <s v="H1B3930"/>
    <s v="001"/>
    <s v="1"/>
    <n v="1"/>
    <d v="2023-09-30T00:00:00"/>
    <d v="2023-10-05T00:00:00"/>
    <s v="Closed"/>
    <n v="1"/>
    <n v="0"/>
    <s v="Mr. Koko"/>
    <x v="61"/>
    <s v="SPECIAL PASS OK"/>
    <m/>
  </r>
  <r>
    <m/>
    <x v="15"/>
    <x v="1"/>
    <s v="sedang"/>
    <x v="18"/>
    <s v="D2IDW4-B-2"/>
    <x v="0"/>
    <n v="0.26"/>
    <s v="SEI-ASMO"/>
    <s v="OD Big"/>
    <x v="107"/>
    <s v="Setting / Adjust T/U Tension Side B ---&gt; 0.286"/>
    <m/>
    <s v="H1B3930"/>
    <s v="002"/>
    <s v="1"/>
    <n v="1"/>
    <d v="2023-10-02T00:00:00"/>
    <d v="2023-10-05T00:00:00"/>
    <s v="Closed"/>
    <n v="1"/>
    <n v="0"/>
    <s v="Mr. Koko"/>
    <x v="61"/>
    <s v="SPECIAL PASS OK"/>
    <m/>
  </r>
  <r>
    <m/>
    <x v="16"/>
    <x v="0"/>
    <s v="sedang"/>
    <x v="6"/>
    <s v="2PEW"/>
    <x v="1"/>
    <n v="0.7"/>
    <s v="MELCO"/>
    <s v="CD Kotor (Powder)"/>
    <x v="2"/>
    <s v="Cleaning CD"/>
    <m/>
    <s v="V8D3O20"/>
    <s v="001"/>
    <s v="1.3"/>
    <n v="2"/>
    <d v="2023-10-20T00:00:00"/>
    <d v="2023-10-31T00:00:00"/>
    <s v="Closed"/>
    <n v="2"/>
    <n v="0"/>
    <s v="Mr. Koko"/>
    <x v="61"/>
    <s v="SPECIAL PASS OK"/>
    <m/>
  </r>
  <r>
    <m/>
    <x v="16"/>
    <x v="0"/>
    <s v="sedang"/>
    <x v="23"/>
    <s v="D1-PEW-B-2T"/>
    <x v="0"/>
    <n v="0.6"/>
    <s v="DMIA"/>
    <s v="APP Sure"/>
    <x v="2"/>
    <m/>
    <m/>
    <s v="VOA3O09"/>
    <s v="003 / 004"/>
    <s v="5 / 5"/>
    <n v="2"/>
    <d v="2023-10-10T00:00:00"/>
    <d v="2023-10-13T00:00:00"/>
    <s v="Closed"/>
    <n v="0"/>
    <n v="2"/>
    <s v="Mr. Koko"/>
    <x v="61"/>
    <s v="PRODUCT DISCRAPE"/>
    <m/>
  </r>
  <r>
    <m/>
    <x v="16"/>
    <x v="0"/>
    <s v="sedang"/>
    <x v="4"/>
    <s v="D1-IDW-4"/>
    <x v="1"/>
    <n v="1.1499999999999999"/>
    <s v="DENSO FAJAR PLANT"/>
    <s v="Temperature Lower 40°C"/>
    <x v="2"/>
    <s v="Setting Ulang Temperature Sesuai ID Slip"/>
    <m/>
    <s v="12B3O08"/>
    <s v="001"/>
    <s v="1 S/D 5"/>
    <n v="5"/>
    <d v="2023-10-08T00:00:00"/>
    <d v="2023-10-13T00:00:00"/>
    <s v="Closed"/>
    <n v="5"/>
    <n v="0"/>
    <s v="Mr. Koko"/>
    <x v="61"/>
    <s v="SPECIAL PASS OK"/>
    <m/>
  </r>
  <r>
    <m/>
    <x v="16"/>
    <x v="0"/>
    <s v="sedang"/>
    <x v="6"/>
    <s v="2PEW"/>
    <x v="0"/>
    <n v="0.7"/>
    <s v="MELCO"/>
    <s v="Horiba Small"/>
    <x v="2"/>
    <m/>
    <m/>
    <s v="V8D3O18"/>
    <s v="002"/>
    <s v="1 S/D 4"/>
    <n v="4"/>
    <d v="2023-10-19T00:00:00"/>
    <d v="2023-10-20T00:00:00"/>
    <s v="Closed"/>
    <n v="4"/>
    <n v="0"/>
    <s v="Mr. Koko"/>
    <x v="61"/>
    <s v="SPECIAL PASS OK"/>
    <m/>
  </r>
  <r>
    <m/>
    <x v="16"/>
    <x v="0"/>
    <s v="sedang"/>
    <x v="9"/>
    <s v="D1-PEW-B-2T"/>
    <x v="0"/>
    <n v="0.56000000000000005"/>
    <s v="DMIA"/>
    <s v="Qty Horiba Small"/>
    <x v="113"/>
    <s v="Mc Stop"/>
    <m/>
    <s v="VOB3O17"/>
    <s v="003"/>
    <s v="1 S/D 5"/>
    <n v="5"/>
    <d v="2023-10-18T00:00:00"/>
    <d v="2023-10-20T00:00:00"/>
    <s v="Closed"/>
    <n v="5"/>
    <n v="0"/>
    <s v="Mr. Koko"/>
    <x v="61"/>
    <s v="SPECIAL PASS OK"/>
    <m/>
  </r>
  <r>
    <m/>
    <x v="16"/>
    <x v="0"/>
    <s v="sedang"/>
    <x v="30"/>
    <s v="2PEW"/>
    <x v="0"/>
    <n v="0.8"/>
    <s v="MELCO"/>
    <s v="Horiba Small"/>
    <x v="2"/>
    <m/>
    <m/>
    <s v="V1B3O17"/>
    <s v="001"/>
    <s v="1 S/D 8"/>
    <n v="8"/>
    <d v="2023-10-19T00:00:00"/>
    <d v="2023-10-20T00:00:00"/>
    <s v="Closed"/>
    <n v="8"/>
    <n v="0"/>
    <s v="Mr. Koko"/>
    <x v="61"/>
    <s v="SPECIAL PASS OK"/>
    <m/>
  </r>
  <r>
    <m/>
    <x v="16"/>
    <x v="0"/>
    <s v="sedang"/>
    <x v="6"/>
    <s v="2PEW"/>
    <x v="0"/>
    <n v="0.7"/>
    <s v="MELCO"/>
    <s v="Horiba Small"/>
    <x v="2"/>
    <m/>
    <m/>
    <s v="V8D3O19"/>
    <s v="001"/>
    <s v="1 S/D 4"/>
    <n v="4"/>
    <d v="2023-10-19T00:00:00"/>
    <d v="2023-10-20T00:00:00"/>
    <s v="Closed"/>
    <n v="4"/>
    <n v="0"/>
    <s v="Mr. Koko"/>
    <x v="61"/>
    <s v="SPECIAL PASS OK"/>
    <m/>
  </r>
  <r>
    <m/>
    <x v="16"/>
    <x v="0"/>
    <s v="sedang"/>
    <x v="7"/>
    <s v="D2DSW2"/>
    <x v="0"/>
    <n v="0.5"/>
    <s v="HAMADEN"/>
    <s v="Wire Dempet"/>
    <x v="2"/>
    <s v="Wire Dipisahkan "/>
    <m/>
    <s v="V4A3O18"/>
    <s v="001"/>
    <s v="1.10"/>
    <n v="2"/>
    <d v="2023-10-18T00:00:00"/>
    <d v="2023-10-20T00:00:00"/>
    <s v="Closed"/>
    <n v="0"/>
    <n v="2"/>
    <s v="Mr. Koko"/>
    <x v="61"/>
    <s v="PRODUCT DISCRAPE"/>
    <m/>
  </r>
  <r>
    <m/>
    <x v="16"/>
    <x v="0"/>
    <s v="sedang"/>
    <x v="7"/>
    <s v="D2DSW2"/>
    <x v="0"/>
    <n v="0.5"/>
    <s v="HAMADEN"/>
    <s v="APP NG"/>
    <x v="114"/>
    <s v="Wire Dipisahkan "/>
    <m/>
    <s v="V4A3O17"/>
    <s v="002"/>
    <s v="1.10.4.5"/>
    <n v="4"/>
    <d v="2023-10-18T00:00:00"/>
    <d v="2023-10-19T00:00:00"/>
    <s v="Closed"/>
    <n v="0"/>
    <n v="4"/>
    <s v="Mr. Koko"/>
    <x v="61"/>
    <s v="PRODUCT DISCRAPE"/>
    <m/>
  </r>
  <r>
    <m/>
    <x v="16"/>
    <x v="0"/>
    <s v="sedang"/>
    <x v="2"/>
    <s v="2EIWAD-O"/>
    <x v="0"/>
    <n v="1.65"/>
    <s v="MEAA-OH"/>
    <s v="APP NG"/>
    <x v="2"/>
    <s v="Dies Overcoat Diangkat, Dies Turun"/>
    <m/>
    <s v="V6B3O15"/>
    <s v="001"/>
    <s v="4.5.6"/>
    <n v="3"/>
    <d v="2023-10-17T00:00:00"/>
    <d v="2023-10-19T00:00:00"/>
    <s v="Closed"/>
    <n v="3"/>
    <n v="0"/>
    <s v="Mr. Koko"/>
    <x v="61"/>
    <s v="SPECIAL PASS OK"/>
    <m/>
  </r>
  <r>
    <m/>
    <x v="16"/>
    <x v="0"/>
    <s v="sedang"/>
    <x v="2"/>
    <s v="2EIWAD-O"/>
    <x v="0"/>
    <n v="1.65"/>
    <s v="MEAA-OH"/>
    <s v="APP NG"/>
    <x v="2"/>
    <m/>
    <m/>
    <s v="V6B3O14"/>
    <s v="001"/>
    <s v="4"/>
    <n v="1"/>
    <d v="2023-10-19T00:00:00"/>
    <d v="2023-10-19T00:00:00"/>
    <s v="Closed"/>
    <n v="1"/>
    <n v="0"/>
    <s v="Mr. Koko"/>
    <x v="61"/>
    <s v="SPECIAL PASS OK"/>
    <m/>
  </r>
  <r>
    <m/>
    <x v="16"/>
    <x v="0"/>
    <s v="sedang"/>
    <x v="1"/>
    <s v="D1-PEW-B-2Y"/>
    <x v="1"/>
    <n v="0.85"/>
    <s v="WIN-A (DMNC-S)"/>
    <s v="Laser Micro Alarm"/>
    <x v="2"/>
    <s v="Normal Sendiri"/>
    <m/>
    <s v="11B3O24"/>
    <s v="001"/>
    <s v="1"/>
    <n v="1"/>
    <d v="2023-10-24T00:00:00"/>
    <d v="2023-10-26T00:00:00"/>
    <s v="Closed"/>
    <n v="1"/>
    <n v="0"/>
    <s v="Mr. Koko"/>
    <x v="61"/>
    <s v="SPECIAL PASS OK"/>
    <m/>
  </r>
  <r>
    <m/>
    <x v="16"/>
    <x v="0"/>
    <s v="sedang"/>
    <x v="0"/>
    <s v="D2-IDW-4E"/>
    <x v="1"/>
    <n v="0.83"/>
    <s v="DENSO FAJAR PLANT"/>
    <s v="Laser Micro Alarm"/>
    <x v="2"/>
    <s v="Normal Sendiri"/>
    <m/>
    <s v="11A3O24"/>
    <s v="002"/>
    <s v="1"/>
    <n v="1"/>
    <d v="2023-10-17T00:00:00"/>
    <d v="2023-10-26T00:00:00"/>
    <s v="Closed"/>
    <n v="1"/>
    <n v="0"/>
    <s v="Mr. Koko"/>
    <x v="61"/>
    <s v="SPECIAL PASS OK"/>
    <m/>
  </r>
  <r>
    <m/>
    <x v="16"/>
    <x v="0"/>
    <s v="sedang"/>
    <x v="17"/>
    <s v="D2IDW-4-B-2"/>
    <x v="0"/>
    <n v="0.44"/>
    <s v="DMIA"/>
    <s v="Horiba Small"/>
    <x v="115"/>
    <s v="- Cleaning Sheave Makitori - Adjust Rulles SPB"/>
    <m/>
    <s v="V4B3O24"/>
    <s v="002"/>
    <s v="1 S/D 10"/>
    <n v="10"/>
    <d v="2023-10-25T00:00:00"/>
    <d v="2023-10-26T00:00:00"/>
    <s v="Closed"/>
    <n v="10"/>
    <n v="0"/>
    <s v="Mr. Koko"/>
    <x v="61"/>
    <s v="SPECIAL PASS OK"/>
    <m/>
  </r>
  <r>
    <m/>
    <x v="16"/>
    <x v="0"/>
    <s v="sedang"/>
    <x v="1"/>
    <s v="D1-PEW-B-2Y"/>
    <x v="1"/>
    <n v="0.85"/>
    <s v="WIN-A (DMNC-S)"/>
    <s v="Laser Micro Alarm"/>
    <x v="2"/>
    <s v="Mc Stop"/>
    <m/>
    <s v="11B3O24"/>
    <s v="002"/>
    <s v="1"/>
    <n v="1"/>
    <d v="2023-10-24T00:00:00"/>
    <d v="2023-10-26T00:00:00"/>
    <s v="Closed"/>
    <n v="1"/>
    <n v="0"/>
    <s v="Mr. Koko"/>
    <x v="61"/>
    <s v="SPECIAL PASS OK"/>
    <m/>
  </r>
  <r>
    <m/>
    <x v="16"/>
    <x v="0"/>
    <s v="sedang"/>
    <x v="0"/>
    <s v="2PEW"/>
    <x v="1"/>
    <n v="0.8"/>
    <s v="MELCO"/>
    <s v="Laser Micro Alarm"/>
    <x v="116"/>
    <m/>
    <m/>
    <s v="11A3O05"/>
    <s v="003"/>
    <s v="1"/>
    <n v="1"/>
    <d v="2023-10-06T00:00:00"/>
    <d v="2023-10-09T00:00:00"/>
    <s v="Closed"/>
    <n v="1"/>
    <n v="0"/>
    <s v="Mr. Koko"/>
    <x v="61"/>
    <s v="SPECIAL PASS OK"/>
    <m/>
  </r>
  <r>
    <m/>
    <x v="16"/>
    <x v="0"/>
    <s v="sedang"/>
    <x v="8"/>
    <s v="D1PEW-B-2Y"/>
    <x v="1"/>
    <n v="0.9"/>
    <s v="DMIA"/>
    <s v="Varnish Kering"/>
    <x v="117"/>
    <m/>
    <m/>
    <s v="V9A3O12"/>
    <s v="003"/>
    <s v="1 S/D 9"/>
    <n v="9"/>
    <d v="2023-10-12T00:00:00"/>
    <d v="2023-10-18T00:00:00"/>
    <s v="Closed"/>
    <n v="9"/>
    <n v="0"/>
    <s v="Mr. Koko"/>
    <x v="61"/>
    <s v="SPECIAL PASS OK"/>
    <m/>
  </r>
  <r>
    <m/>
    <x v="16"/>
    <x v="0"/>
    <s v="sedang"/>
    <x v="5"/>
    <s v="D2IDW4A-1"/>
    <x v="1"/>
    <n v="0.55000000000000004"/>
    <s v="TACI"/>
    <s v="Wire Break"/>
    <x v="2"/>
    <s v="Finish"/>
    <m/>
    <s v="V8C3O10"/>
    <s v="005"/>
    <s v="1 S/D 3"/>
    <n v="3"/>
    <d v="2023-10-10T00:00:00"/>
    <d v="2023-10-16T00:00:00"/>
    <s v="Closed"/>
    <n v="3"/>
    <n v="0"/>
    <s v="Mr. Koko"/>
    <x v="61"/>
    <s v="SPECIAL PASS OK"/>
    <m/>
  </r>
  <r>
    <m/>
    <x v="16"/>
    <x v="0"/>
    <s v="sedang"/>
    <x v="11"/>
    <s v="2EIWAD-O"/>
    <x v="1"/>
    <n v="1.81"/>
    <s v="META"/>
    <s v="Bunyi Speed Capstand"/>
    <x v="2"/>
    <s v="Setting Ulang Speed Capstand"/>
    <m/>
    <s v="12A3O10"/>
    <s v="002"/>
    <s v="2"/>
    <n v="1"/>
    <d v="2023-10-10T00:00:00"/>
    <d v="2023-10-16T00:00:00"/>
    <s v="Closed"/>
    <n v="1"/>
    <n v="0"/>
    <s v="Mr. Koko"/>
    <x v="61"/>
    <s v="SPECIAL PASS OK"/>
    <m/>
  </r>
  <r>
    <m/>
    <x v="16"/>
    <x v="0"/>
    <s v="sedang"/>
    <x v="2"/>
    <s v="2EIWAD-P"/>
    <x v="0"/>
    <n v="1.45"/>
    <s v="MEAINA"/>
    <s v="CD Big &amp; Coating Thikness Kecil"/>
    <x v="2"/>
    <s v="Mc Stop"/>
    <m/>
    <s v="V6B3O04 / V6B3O03"/>
    <s v="002 / 001"/>
    <s v="7"/>
    <n v="2"/>
    <d v="2023-10-05T00:00:00"/>
    <d v="2023-10-16T00:00:00"/>
    <s v="Closed"/>
    <n v="2"/>
    <n v="0"/>
    <s v="Mr. Koko"/>
    <x v="61"/>
    <s v="SPECIAL PASS OK"/>
    <m/>
  </r>
  <r>
    <m/>
    <x v="16"/>
    <x v="0"/>
    <s v="sedang"/>
    <x v="0"/>
    <s v="2PEW"/>
    <x v="1"/>
    <n v="0.8"/>
    <s v="MELCO"/>
    <s v="Laser Micro Alarm"/>
    <x v="2"/>
    <s v="Normal Sendiri"/>
    <m/>
    <s v="11A3O10"/>
    <s v="003"/>
    <s v="5"/>
    <n v="1"/>
    <d v="2023-10-11T00:00:00"/>
    <d v="2023-10-16T00:00:00"/>
    <s v="Closed"/>
    <n v="1"/>
    <n v="0"/>
    <s v="Mr. Koko"/>
    <x v="61"/>
    <s v="SPECIAL PASS OK"/>
    <m/>
  </r>
  <r>
    <m/>
    <x v="16"/>
    <x v="0"/>
    <s v="sedang"/>
    <x v="1"/>
    <s v="D1-PEW-B-2Y"/>
    <x v="0"/>
    <n v="0.75"/>
    <s v="SEI-ASMO"/>
    <s v="Horiba Big"/>
    <x v="2"/>
    <m/>
    <m/>
    <s v="11B3O03"/>
    <s v="004"/>
    <s v="1 S/D 5"/>
    <n v="5"/>
    <d v="2023-10-04T00:00:00"/>
    <d v="2023-10-09T00:00:00"/>
    <s v="Closed"/>
    <n v="5"/>
    <n v="0"/>
    <s v="Mr. Koko"/>
    <x v="61"/>
    <s v="SPECIAL PASS OK"/>
    <m/>
  </r>
  <r>
    <m/>
    <x v="16"/>
    <x v="0"/>
    <s v="sedang"/>
    <x v="9"/>
    <s v="D1-PEW-B-2T"/>
    <x v="0"/>
    <n v="0.5"/>
    <s v="DMIA"/>
    <s v="Horiba Big"/>
    <x v="2"/>
    <s v="WS Roller Diturunkan dari 3.0 ---&gt; 2.8"/>
    <m/>
    <s v="VOB3O07"/>
    <s v="001"/>
    <s v="5.1.2.3.4"/>
    <n v="5"/>
    <d v="2023-10-08T00:00:00"/>
    <d v="2023-10-09T00:00:00"/>
    <s v="Closed"/>
    <n v="5"/>
    <n v="0"/>
    <s v="Mr. Koko"/>
    <x v="61"/>
    <s v="SPECIAL PASS OK"/>
    <m/>
  </r>
  <r>
    <m/>
    <x v="16"/>
    <x v="0"/>
    <s v="sedang"/>
    <x v="0"/>
    <s v="D2-IDW-4E"/>
    <x v="0"/>
    <n v="0.83"/>
    <s v="DENSO FAJAR PLANT"/>
    <s v="DF Big"/>
    <x v="2"/>
    <s v="Next T/U Ok"/>
    <m/>
    <s v="11A3O02"/>
    <s v="005"/>
    <s v="1.2.3.4.5"/>
    <n v="5"/>
    <d v="2023-10-03T00:00:00"/>
    <d v="2023-10-04T00:00:00"/>
    <s v="Closed"/>
    <n v="5"/>
    <n v="0"/>
    <s v="Mr. Koko"/>
    <x v="61"/>
    <s v="SPECIAL PASS OK"/>
    <m/>
  </r>
  <r>
    <m/>
    <x v="16"/>
    <x v="0"/>
    <s v="sedang"/>
    <x v="30"/>
    <s v="2PEW"/>
    <x v="1"/>
    <n v="0.8"/>
    <s v="MELCO"/>
    <s v="Temperature Annealer Inlet Up 15°C"/>
    <x v="2"/>
    <s v="Adjust Thermocouple"/>
    <m/>
    <s v="V1B3O15"/>
    <s v="001"/>
    <s v="1 S/D 8"/>
    <n v="8"/>
    <d v="2023-10-16T00:00:00"/>
    <d v="2023-10-25T00:00:00"/>
    <s v="Closed"/>
    <n v="8"/>
    <n v="0"/>
    <s v="Mr. Koko"/>
    <x v="61"/>
    <s v="SPECIAL PASS OK"/>
    <m/>
  </r>
  <r>
    <m/>
    <x v="16"/>
    <x v="0"/>
    <s v="sedang"/>
    <x v="16"/>
    <s v="1HGZ-MA"/>
    <x v="0"/>
    <n v="1.18"/>
    <s v="LAMCOR"/>
    <s v="OD Kecil "/>
    <x v="2"/>
    <s v="Next T/U Ok"/>
    <m/>
    <s v="V6A3O16"/>
    <s v="002"/>
    <s v="4"/>
    <n v="1"/>
    <d v="2023-10-16T00:00:00"/>
    <d v="2023-10-31T00:00:00"/>
    <s v="Closed"/>
    <n v="0"/>
    <n v="1"/>
    <s v="Mr. Koko"/>
    <x v="61"/>
    <s v="PRODUCT DISCRAPE"/>
    <m/>
  </r>
  <r>
    <m/>
    <x v="16"/>
    <x v="0"/>
    <s v="sedang"/>
    <x v="2"/>
    <s v="2EIWAD-O"/>
    <x v="0"/>
    <n v="1.65"/>
    <s v="MEAA-OH"/>
    <s v="Gulungan NG"/>
    <x v="2"/>
    <s v="Speed Turn Table Speed Setting"/>
    <m/>
    <s v="V6B3O16"/>
    <s v="002"/>
    <s v="4"/>
    <n v="1"/>
    <d v="2023-10-16T00:00:00"/>
    <d v="2023-10-31T00:00:00"/>
    <s v="Closed"/>
    <n v="1"/>
    <n v="0"/>
    <s v="Mr. Koko"/>
    <x v="61"/>
    <s v="SPECIAL PASS OK"/>
    <m/>
  </r>
  <r>
    <m/>
    <x v="16"/>
    <x v="0"/>
    <s v="sedang"/>
    <x v="3"/>
    <s v="1PEW"/>
    <x v="1"/>
    <n v="2"/>
    <s v="SEI-OEM"/>
    <s v="Fluktuasi Speed Capstand"/>
    <x v="2"/>
    <m/>
    <m/>
    <s v="V8A3O16"/>
    <s v="013"/>
    <s v="1"/>
    <n v="1"/>
    <d v="2023-10-16T00:00:00"/>
    <d v="2023-10-31T00:00:00"/>
    <s v="Closed"/>
    <n v="1"/>
    <n v="0"/>
    <s v="Mr. Koko"/>
    <x v="61"/>
    <s v="SPECIAL PASS OK"/>
    <m/>
  </r>
  <r>
    <m/>
    <x v="16"/>
    <x v="0"/>
    <s v="sedang"/>
    <x v="1"/>
    <s v="2PEW"/>
    <x v="1"/>
    <n v="0.82"/>
    <s v="MELCO"/>
    <s v="Barewire Grade Salah"/>
    <x v="2"/>
    <s v="Change Barewire Grade A ke Grade 5"/>
    <m/>
    <s v="11B3O13"/>
    <s v="003"/>
    <s v="3"/>
    <n v="1"/>
    <d v="2023-10-13T00:00:00"/>
    <d v="2023-10-31T00:00:00"/>
    <s v="Closed"/>
    <n v="1"/>
    <n v="0"/>
    <s v="Mr. Koko"/>
    <x v="61"/>
    <s v="SPECIAL PASS OK"/>
    <m/>
  </r>
  <r>
    <m/>
    <x v="16"/>
    <x v="0"/>
    <s v="sedang"/>
    <x v="7"/>
    <s v="D2DSW2"/>
    <x v="0"/>
    <n v="0.5"/>
    <s v="HAMADEN"/>
    <s v="Gulungan Kendor ke Bawah"/>
    <x v="2"/>
    <s v="Cek Gulungan &amp; Adjust Tension"/>
    <m/>
    <s v="V4A3O27"/>
    <s v="002"/>
    <s v="8"/>
    <n v="1"/>
    <d v="2023-10-28T00:00:00"/>
    <d v="2023-10-30T00:00:00"/>
    <s v="Closed"/>
    <n v="1"/>
    <n v="0"/>
    <s v="Mr. Koko"/>
    <x v="61"/>
    <s v="SPECIAL PASS OK"/>
    <m/>
  </r>
  <r>
    <m/>
    <x v="16"/>
    <x v="0"/>
    <s v="sedang"/>
    <x v="7"/>
    <s v="D2DSW2"/>
    <x v="1"/>
    <n v="0.5"/>
    <s v="HAMADEN"/>
    <s v="Antisipasi Blister"/>
    <x v="2"/>
    <s v="Fp"/>
    <m/>
    <s v="V4A3O11"/>
    <s v="002"/>
    <s v="9.10"/>
    <n v="2"/>
    <d v="2023-10-12T00:00:00"/>
    <d v="2023-10-13T00:00:00"/>
    <s v="Closed"/>
    <n v="2"/>
    <n v="0"/>
    <s v="Mr. Koko"/>
    <x v="61"/>
    <s v="SPECIAL PASS OK"/>
    <m/>
  </r>
  <r>
    <m/>
    <x v="16"/>
    <x v="0"/>
    <s v="sedang"/>
    <x v="1"/>
    <s v="2PEW"/>
    <x v="0"/>
    <n v="0.8"/>
    <s v="MELCO"/>
    <s v="Horiba Small"/>
    <x v="2"/>
    <s v="Tambah P2 Oil"/>
    <m/>
    <s v="11B3O31"/>
    <s v="003"/>
    <s v="1 S/D 5"/>
    <n v="5"/>
    <d v="2023-11-01T00:00:00"/>
    <d v="2023-11-02T00:00:00"/>
    <s v="Closed"/>
    <n v="5"/>
    <n v="0"/>
    <s v="Mr. Koko"/>
    <x v="61"/>
    <s v="SPECIAL PASS OK"/>
    <m/>
  </r>
  <r>
    <m/>
    <x v="16"/>
    <x v="0"/>
    <s v="sedang"/>
    <x v="0"/>
    <s v="2PEW"/>
    <x v="0"/>
    <n v="0.77"/>
    <s v="MELCO"/>
    <s v="Horiba Small"/>
    <x v="2"/>
    <s v="Tambah Oil"/>
    <m/>
    <s v="11A3O31"/>
    <s v="002"/>
    <s v="1 S/D 5"/>
    <n v="5"/>
    <d v="2023-11-01T00:00:00"/>
    <d v="2023-11-02T00:00:00"/>
    <s v="Closed"/>
    <n v="5"/>
    <n v="0"/>
    <s v="Mr. Koko"/>
    <x v="61"/>
    <s v="SPECIAL PASS OK"/>
    <m/>
  </r>
  <r>
    <m/>
    <x v="16"/>
    <x v="0"/>
    <s v="sedang"/>
    <x v="1"/>
    <s v="D1-PEW-B-2Y"/>
    <x v="0"/>
    <n v="0.75"/>
    <s v="SEI-ASMO"/>
    <s v="Horiba Big"/>
    <x v="2"/>
    <s v="Next T/U Ok"/>
    <m/>
    <s v="11B3O02"/>
    <s v="Start Up"/>
    <s v="1 S/D 5"/>
    <n v="5"/>
    <d v="2023-10-03T00:00:00"/>
    <d v="2023-10-04T00:00:00"/>
    <s v="Closed"/>
    <n v="5"/>
    <n v="0"/>
    <s v="Mr. Koko"/>
    <x v="61"/>
    <s v="SPECIAL PASS OK"/>
    <m/>
  </r>
  <r>
    <m/>
    <x v="16"/>
    <x v="0"/>
    <s v="sedang"/>
    <x v="0"/>
    <s v="D2-IDW-4E"/>
    <x v="1"/>
    <n v="0.83"/>
    <s v="DENSO FAJAR PLANT"/>
    <s v="Bunyi Laser Micro"/>
    <x v="118"/>
    <m/>
    <m/>
    <s v="11A3O03"/>
    <s v="006"/>
    <s v="5"/>
    <n v="1"/>
    <d v="2023-10-03T00:00:00"/>
    <d v="2023-10-04T00:00:00"/>
    <s v="Closed"/>
    <n v="1"/>
    <n v="0"/>
    <s v="Mr. Koko"/>
    <x v="61"/>
    <s v="SPECIAL PASS OK"/>
    <m/>
  </r>
  <r>
    <m/>
    <x v="16"/>
    <x v="0"/>
    <s v="sedang"/>
    <x v="11"/>
    <s v="2EIWAD-O"/>
    <x v="0"/>
    <n v="1.81"/>
    <s v="MEAA-OH"/>
    <s v="Blister"/>
    <x v="2"/>
    <s v="Produk di RS 10kg"/>
    <m/>
    <s v="12A3O22"/>
    <s v="001"/>
    <s v="3"/>
    <n v="1"/>
    <d v="2023-10-23T00:00:00"/>
    <d v="2023-10-24T00:00:00"/>
    <s v="Closed"/>
    <n v="1"/>
    <n v="0"/>
    <s v="Mr. Koko"/>
    <x v="61"/>
    <s v="SPECIAL PASS OK"/>
    <m/>
  </r>
  <r>
    <m/>
    <x v="16"/>
    <x v="0"/>
    <s v="sedang"/>
    <x v="17"/>
    <s v="D2IDW-4-B-2"/>
    <x v="0"/>
    <n v="0.44"/>
    <s v="DMIA"/>
    <s v="Horiba Small"/>
    <x v="2"/>
    <m/>
    <m/>
    <s v="V4B3O21 / V4B3O22"/>
    <s v="001 / 001"/>
    <s v="1 S/D 10 / 1 S/D 10"/>
    <n v="20"/>
    <d v="2023-10-23T00:00:00"/>
    <d v="2023-10-24T00:00:00"/>
    <s v="Closed"/>
    <n v="20"/>
    <n v="0"/>
    <s v="Mr. Koko"/>
    <x v="61"/>
    <s v="SPECIAL PASS OK"/>
    <m/>
  </r>
  <r>
    <m/>
    <x v="16"/>
    <x v="0"/>
    <s v="sedang"/>
    <x v="2"/>
    <s v="2EIWAD-O"/>
    <x v="0"/>
    <n v="1.65"/>
    <s v="MEAA-OH"/>
    <s v="APP NG"/>
    <x v="2"/>
    <m/>
    <m/>
    <s v="V6B3O20 / 21"/>
    <s v="001"/>
    <s v="4.6"/>
    <n v="2"/>
    <d v="2023-10-23T00:00:00"/>
    <d v="2023-10-24T00:00:00"/>
    <s v="Closed"/>
    <n v="2"/>
    <n v="0"/>
    <s v="Mr. Koko"/>
    <x v="61"/>
    <s v="SPECIAL PASS OK"/>
    <m/>
  </r>
  <r>
    <m/>
    <x v="16"/>
    <x v="0"/>
    <s v="sedang"/>
    <x v="0"/>
    <s v="D2-IDW-4E"/>
    <x v="1"/>
    <n v="0.83"/>
    <s v="DENSO FAJAR PLANT"/>
    <s v="Laser Micro Alarm"/>
    <x v="2"/>
    <m/>
    <m/>
    <s v="11A3O20"/>
    <s v="003"/>
    <s v="4"/>
    <n v="1"/>
    <d v="2023-10-20T00:00:00"/>
    <d v="2023-10-24T00:00:00"/>
    <s v="Closed"/>
    <n v="1"/>
    <n v="0"/>
    <s v="Mr. Koko"/>
    <x v="61"/>
    <s v="SPECIAL PASS OK"/>
    <m/>
  </r>
  <r>
    <m/>
    <x v="16"/>
    <x v="0"/>
    <s v="sedang"/>
    <x v="6"/>
    <s v="2PEW"/>
    <x v="0"/>
    <n v="0.7"/>
    <s v="MELCO"/>
    <s v="Horiba Small"/>
    <x v="2"/>
    <s v="Fp"/>
    <m/>
    <s v="V8D3O20"/>
    <s v="002"/>
    <s v="2"/>
    <n v="1"/>
    <d v="2023-10-23T00:00:00"/>
    <d v="2023-10-24T00:00:00"/>
    <s v="Closed"/>
    <n v="1"/>
    <n v="0"/>
    <s v="Mr. Koko"/>
    <x v="61"/>
    <s v="SPECIAL PASS OK"/>
    <m/>
  </r>
  <r>
    <m/>
    <x v="16"/>
    <x v="0"/>
    <s v="sedang"/>
    <x v="0"/>
    <s v="2PEW"/>
    <x v="1"/>
    <n v="0.8"/>
    <s v="MELCO"/>
    <s v="Laser Micro Alarm"/>
    <x v="2"/>
    <m/>
    <m/>
    <s v="11A3O05"/>
    <s v="001"/>
    <s v="5"/>
    <n v="1"/>
    <d v="2023-10-05T00:00:00"/>
    <d v="2023-10-13T00:00:00"/>
    <s v="Closed"/>
    <n v="1"/>
    <n v="0"/>
    <s v="Mr. Koko"/>
    <x v="61"/>
    <s v="SPECIAL PASS OK"/>
    <m/>
  </r>
  <r>
    <m/>
    <x v="16"/>
    <x v="0"/>
    <s v="sedang"/>
    <x v="3"/>
    <s v="1PEW"/>
    <x v="0"/>
    <n v="2"/>
    <s v="SEI-OEM"/>
    <s v="CD Small"/>
    <x v="2"/>
    <m/>
    <m/>
    <s v="V8A3O12"/>
    <s v="011"/>
    <s v="1"/>
    <n v="1"/>
    <d v="2023-10-13T00:00:00"/>
    <d v="2023-10-13T00:00:00"/>
    <s v="Closed"/>
    <n v="1"/>
    <n v="0"/>
    <s v="Mr. Koko"/>
    <x v="61"/>
    <s v="SPECIAL PASS OK"/>
    <m/>
  </r>
  <r>
    <m/>
    <x v="16"/>
    <x v="0"/>
    <s v="sedang"/>
    <x v="9"/>
    <s v="D1-PEW-B-2T"/>
    <x v="1"/>
    <n v="0.5"/>
    <s v="DMIA"/>
    <s v="Wire Break"/>
    <x v="44"/>
    <m/>
    <m/>
    <s v="VOB3O06"/>
    <s v="003"/>
    <m/>
    <n v="5"/>
    <d v="2023-10-06T00:00:00"/>
    <d v="2023-10-13T00:00:00"/>
    <s v="Closed"/>
    <n v="5"/>
    <n v="0"/>
    <s v="Mr. Koko"/>
    <x v="61"/>
    <s v="SPECIAL PASS OK"/>
    <m/>
  </r>
  <r>
    <m/>
    <x v="16"/>
    <x v="0"/>
    <s v="sedang"/>
    <x v="8"/>
    <s v="D1PEW-B-2Y"/>
    <x v="0"/>
    <n v="0.9"/>
    <s v="DMIA"/>
    <s v="Horiba Big"/>
    <x v="119"/>
    <s v="WS Roll Coater SPB-200 Oil Diturunkan 4.10 ---&gt; 4.00"/>
    <m/>
    <s v="V9A3O11"/>
    <s v="001"/>
    <s v="1 S/D 9"/>
    <n v="9"/>
    <d v="2023-10-12T00:00:00"/>
    <d v="2023-10-13T00:00:00"/>
    <s v="Closed"/>
    <n v="9"/>
    <n v="0"/>
    <s v="Mr. Koko"/>
    <x v="61"/>
    <s v="SPECIAL PASS OK"/>
    <m/>
  </r>
  <r>
    <m/>
    <x v="16"/>
    <x v="0"/>
    <s v="sedang"/>
    <x v="23"/>
    <s v="D1-PEW-B-2T"/>
    <x v="0"/>
    <n v="0.6"/>
    <s v="DMIA"/>
    <s v="Sure"/>
    <x v="2"/>
    <s v="- Siwa - Rotary Dies Inline"/>
    <m/>
    <s v="VOA3O07"/>
    <s v="001 / 002"/>
    <s v="5 / 5"/>
    <n v="2"/>
    <d v="2023-10-10T00:00:00"/>
    <d v="2023-10-10T00:00:00"/>
    <s v="Closed"/>
    <n v="2"/>
    <n v="0"/>
    <s v="Mr. Koko"/>
    <x v="61"/>
    <s v="SPECIAL PASS OK"/>
    <m/>
  </r>
  <r>
    <m/>
    <x v="16"/>
    <x v="0"/>
    <s v="sedang"/>
    <x v="0"/>
    <s v="D2-IDW-4E"/>
    <x v="1"/>
    <n v="0.83"/>
    <s v="DENSO FAJAR PLANT"/>
    <s v="Spool Kasar"/>
    <x v="2"/>
    <m/>
    <m/>
    <s v="11A3O01"/>
    <s v="005"/>
    <s v="1"/>
    <n v="1"/>
    <d v="2023-10-02T00:00:00"/>
    <d v="2023-10-10T00:00:00"/>
    <s v="Closed"/>
    <n v="1"/>
    <n v="0"/>
    <s v="Mr. Koko"/>
    <x v="61"/>
    <s v="SPECIAL PASS OK"/>
    <m/>
  </r>
  <r>
    <m/>
    <x v="16"/>
    <x v="0"/>
    <s v="sedang"/>
    <x v="11"/>
    <s v="2EIWAD-O"/>
    <x v="0"/>
    <n v="1.81"/>
    <s v="MEAA-OH"/>
    <s v="APP NG"/>
    <x v="2"/>
    <s v="Siwa Dies Coat"/>
    <m/>
    <s v="12A3O23"/>
    <s v="001"/>
    <s v="3"/>
    <n v="1"/>
    <d v="2023-10-24T00:00:00"/>
    <d v="2023-10-31T00:00:00"/>
    <s v="Closed"/>
    <n v="1"/>
    <n v="0"/>
    <s v="Mr. Koko"/>
    <x v="61"/>
    <s v="SPECIAL PASS OK"/>
    <m/>
  </r>
  <r>
    <m/>
    <x v="16"/>
    <x v="0"/>
    <s v="sedang"/>
    <x v="17"/>
    <s v="D2IDW-4-B-2"/>
    <x v="1"/>
    <n v="0.44"/>
    <s v="DMIA"/>
    <s v="Wire Fibration"/>
    <x v="2"/>
    <s v="Repair MTN"/>
    <m/>
    <s v="V4B3O19"/>
    <s v="001"/>
    <s v="2 S/D 10"/>
    <n v="9"/>
    <d v="2023-10-19T00:00:00"/>
    <d v="2023-10-31T00:00:00"/>
    <s v="Closed"/>
    <n v="9"/>
    <n v="0"/>
    <s v="Mr. Koko"/>
    <x v="61"/>
    <s v="SPECIAL PASS OK"/>
    <m/>
  </r>
  <r>
    <m/>
    <x v="16"/>
    <x v="0"/>
    <s v="sedang"/>
    <x v="11"/>
    <s v="2EIWAD-O"/>
    <x v="0"/>
    <n v="1.81"/>
    <s v="MEAA-OH"/>
    <s v="DF Big"/>
    <x v="2"/>
    <s v="- Adjust Temperature Curezone 490°C---&gt; 495°C '- Adjust Temperature Catalyst 505°C ---&gt; 510°C "/>
    <m/>
    <s v="12A3O25"/>
    <s v="001"/>
    <s v="1 S/D 5"/>
    <n v="5"/>
    <d v="2023-10-26T00:00:00"/>
    <d v="2023-10-27T00:00:00"/>
    <s v="Closed"/>
    <n v="5"/>
    <n v="0"/>
    <s v="Mr. Koko"/>
    <x v="61"/>
    <s v="SPECIAL PASS OK"/>
    <m/>
  </r>
  <r>
    <m/>
    <x v="16"/>
    <x v="0"/>
    <s v="sedang"/>
    <x v="11"/>
    <s v="2EIWAD-O"/>
    <x v="0"/>
    <n v="1.81"/>
    <s v="META"/>
    <s v="OD CD Small &amp; SE Kecil"/>
    <x v="2"/>
    <s v="Adjust Tension Winding"/>
    <m/>
    <s v="12A3O06"/>
    <s v="001 / 002"/>
    <s v="2 / 2"/>
    <n v="2"/>
    <d v="2023-10-07T00:00:00"/>
    <d v="2023-10-27T00:00:00"/>
    <s v="Closed"/>
    <n v="2"/>
    <n v="0"/>
    <s v="Mr. Koko"/>
    <x v="61"/>
    <s v="SPECIAL PASS OK"/>
    <m/>
  </r>
  <r>
    <m/>
    <x v="16"/>
    <x v="0"/>
    <s v="sedang"/>
    <x v="17"/>
    <s v="D2IDW-4-B-2"/>
    <x v="0"/>
    <n v="0.44"/>
    <s v="DMIA"/>
    <s v="Horiba Small"/>
    <x v="2"/>
    <s v="Tambah Level Oil"/>
    <m/>
    <s v="V4B3O24"/>
    <s v="001"/>
    <s v="1 S/D 10"/>
    <n v="10"/>
    <d v="2023-10-25T00:00:00"/>
    <d v="2023-10-26T00:00:00"/>
    <s v="Closed"/>
    <n v="10"/>
    <n v="0"/>
    <s v="Mr. Koko"/>
    <x v="61"/>
    <s v="SPECIAL PASS OK"/>
    <m/>
  </r>
  <r>
    <m/>
    <x v="16"/>
    <x v="0"/>
    <s v="sedang"/>
    <x v="0"/>
    <s v="D2-IDW-4E"/>
    <x v="1"/>
    <n v="0.83"/>
    <s v="DENSO FAJAR PLANT"/>
    <s v="Laser Micro Alarm"/>
    <x v="2"/>
    <s v="Normal Sendiri"/>
    <m/>
    <s v="11A3O23"/>
    <s v="001"/>
    <s v="2"/>
    <n v="1"/>
    <d v="2023-10-23T00:00:00"/>
    <d v="2023-10-26T00:00:00"/>
    <s v="Closed"/>
    <n v="1"/>
    <n v="0"/>
    <s v="Mr. Koko"/>
    <x v="61"/>
    <s v="SPECIAL PASS OK"/>
    <m/>
  </r>
  <r>
    <m/>
    <x v="16"/>
    <x v="0"/>
    <s v="sedang"/>
    <x v="11"/>
    <s v="2EIWAD-O"/>
    <x v="1"/>
    <n v="1.81"/>
    <s v="MELCO"/>
    <s v="Wire Break. Barewire Nyangkut"/>
    <x v="2"/>
    <s v="LS"/>
    <m/>
    <s v="12A3O14"/>
    <s v="002"/>
    <s v="4 / 5"/>
    <n v="2"/>
    <d v="2023-10-16T00:00:00"/>
    <d v="2023-10-25T00:00:00"/>
    <s v="Closed"/>
    <n v="2"/>
    <n v="0"/>
    <s v="Mr. Koko"/>
    <x v="61"/>
    <s v="SPECIAL PASS OK"/>
    <m/>
  </r>
  <r>
    <m/>
    <x v="16"/>
    <x v="0"/>
    <s v="sedang"/>
    <x v="7"/>
    <s v="D2DSW2"/>
    <x v="1"/>
    <n v="0.5"/>
    <s v="HAMADEN"/>
    <s v="Temperature Annealer 1 Drop"/>
    <x v="2"/>
    <s v="Repair By MTN"/>
    <m/>
    <s v="V4A3O10"/>
    <s v="001"/>
    <s v="1 S/D 10"/>
    <n v="10"/>
    <d v="2023-10-10T00:00:00"/>
    <d v="2023-10-25T00:00:00"/>
    <s v="Closed"/>
    <n v="10"/>
    <n v="0"/>
    <s v="Mr. Koko"/>
    <x v="61"/>
    <s v="SPECIAL PASS OK"/>
    <m/>
  </r>
  <r>
    <m/>
    <x v="16"/>
    <x v="0"/>
    <s v="sedang"/>
    <x v="4"/>
    <s v="D1-IDW-4"/>
    <x v="1"/>
    <n v="1.1499999999999999"/>
    <s v="DENSO FAJAR PLANT"/>
    <s v="Speed Inline Capstand Turun"/>
    <x v="2"/>
    <s v="Normal Sendiri"/>
    <m/>
    <s v="12B3O18"/>
    <s v="002"/>
    <s v="1 S/D 5"/>
    <n v="5"/>
    <d v="2023-10-18T00:00:00"/>
    <d v="2023-10-25T00:00:00"/>
    <s v="Closed"/>
    <n v="5"/>
    <n v="0"/>
    <s v="Mr. Koko"/>
    <x v="61"/>
    <s v="SPECIAL PASS OK"/>
    <m/>
  </r>
  <r>
    <m/>
    <x v="16"/>
    <x v="0"/>
    <s v="sedang"/>
    <x v="0"/>
    <s v="D2-IDW-4E"/>
    <x v="0"/>
    <n v="0.83"/>
    <s v="DENSO FAJAR PLANT"/>
    <s v="CD Kecil &amp; DF  Big"/>
    <x v="2"/>
    <s v="Mc Stop"/>
    <m/>
    <s v="11A3O04"/>
    <s v="005"/>
    <s v="1 S/D 5"/>
    <n v="5"/>
    <d v="2023-10-05T00:00:00"/>
    <d v="2023-10-25T00:00:00"/>
    <s v="Closed"/>
    <n v="5"/>
    <n v="0"/>
    <s v="Mr. Koko"/>
    <x v="61"/>
    <s v="SPECIAL PASS OK"/>
    <m/>
  </r>
  <r>
    <m/>
    <x v="16"/>
    <x v="0"/>
    <s v="sedang"/>
    <x v="16"/>
    <s v="1HGZ-MA"/>
    <x v="0"/>
    <n v="1.18"/>
    <s v="LAMCOR"/>
    <s v="OD CD Small"/>
    <x v="2"/>
    <s v="Change Dies Inline &amp; Dies Coating"/>
    <m/>
    <s v="V6A3O13"/>
    <s v="002"/>
    <s v="1.2.4"/>
    <n v="3"/>
    <d v="2023-10-15T00:00:00"/>
    <d v="2023-10-25T00:00:00"/>
    <s v="Closed"/>
    <n v="1"/>
    <n v="2"/>
    <s v="Mr. Koko"/>
    <x v="61"/>
    <s v="1 OK 2.4 NG"/>
    <m/>
  </r>
  <r>
    <m/>
    <x v="16"/>
    <x v="0"/>
    <s v="sedang"/>
    <x v="25"/>
    <s v="2PEW"/>
    <x v="1"/>
    <n v="0.85"/>
    <s v="MELCO"/>
    <s v="Temperature Annealer Inlet Up 19°C"/>
    <x v="2"/>
    <s v="Adjust Thermocuople (Getok - getok)"/>
    <m/>
    <s v="V1A3O15"/>
    <s v="001"/>
    <s v="1 S/D 7"/>
    <n v="7"/>
    <d v="2023-10-16T00:00:00"/>
    <d v="2023-10-25T00:00:00"/>
    <s v="Closed"/>
    <n v="7"/>
    <n v="0"/>
    <s v="Mr. Koko"/>
    <x v="61"/>
    <s v="SPECIAL PASS OK"/>
    <m/>
  </r>
  <r>
    <m/>
    <x v="16"/>
    <x v="0"/>
    <s v="sedang"/>
    <x v="0"/>
    <s v="D1-PEW-B-2Y"/>
    <x v="1"/>
    <n v="0.7"/>
    <s v="SEI-ASMO"/>
    <s v="Laser Micro Alarm"/>
    <x v="120"/>
    <s v="Adjust Tension Sebelum Oven"/>
    <m/>
    <s v="11A3O18"/>
    <s v="001"/>
    <s v="1 S/D 5"/>
    <n v="5"/>
    <d v="2023-10-18T00:00:00"/>
    <d v="2023-10-25T00:00:00"/>
    <s v="Closed"/>
    <n v="5"/>
    <n v="0"/>
    <s v="Mr. Koko"/>
    <x v="61"/>
    <s v="SPECIAL PASS OK"/>
    <m/>
  </r>
  <r>
    <m/>
    <x v="16"/>
    <x v="0"/>
    <s v="sedang"/>
    <x v="0"/>
    <s v="D1-PEW-B-2Y"/>
    <x v="1"/>
    <n v="0.7"/>
    <s v="SEI-ASMO"/>
    <s v="Bunyi Laser Micro "/>
    <x v="2"/>
    <s v="Normal Sendiri"/>
    <m/>
    <s v="11A3O17"/>
    <s v="003"/>
    <s v="1"/>
    <n v="1"/>
    <d v="2023-10-17T00:00:00"/>
    <d v="2023-10-25T00:00:00"/>
    <s v="Closed"/>
    <n v="1"/>
    <n v="0"/>
    <s v="Mr. Koko"/>
    <x v="61"/>
    <s v="SPECIAL PASS OK"/>
    <m/>
  </r>
  <r>
    <m/>
    <x v="16"/>
    <x v="0"/>
    <s v="sedang"/>
    <x v="30"/>
    <s v="2PEW"/>
    <x v="0"/>
    <n v="0.8"/>
    <s v="MELCO"/>
    <s v="Horiba Small"/>
    <x v="2"/>
    <s v="Mc Stop"/>
    <m/>
    <s v="V1B3O18"/>
    <s v="001"/>
    <s v="1 S/D 8"/>
    <n v="8"/>
    <d v="2023-10-20T00:00:00"/>
    <d v="2023-10-20T00:00:00"/>
    <s v="Closed"/>
    <n v="8"/>
    <n v="0"/>
    <s v="Mr. Koko"/>
    <x v="61"/>
    <s v="SPECIAL PASS OK"/>
    <m/>
  </r>
  <r>
    <m/>
    <x v="16"/>
    <x v="0"/>
    <s v="sedang"/>
    <x v="2"/>
    <s v="2EIWAD-O"/>
    <x v="0"/>
    <n v="1.65"/>
    <s v="MEAA-OH"/>
    <s v="APP Mera"/>
    <x v="2"/>
    <s v="Mc Stop"/>
    <m/>
    <s v="V6B3O21"/>
    <s v="001"/>
    <s v="4.6"/>
    <n v="2"/>
    <d v="2023-10-23T00:00:00"/>
    <m/>
    <s v="Closed"/>
    <n v="2"/>
    <n v="0"/>
    <s v="Mr. Koko"/>
    <x v="61"/>
    <s v="SPECIAL PASS OK"/>
    <m/>
  </r>
  <r>
    <m/>
    <x v="16"/>
    <x v="0"/>
    <s v="sedang"/>
    <x v="7"/>
    <s v="D2DSW2"/>
    <x v="0"/>
    <n v="0.5"/>
    <s v="HAMADEN"/>
    <s v="Wire Dempet"/>
    <x v="2"/>
    <s v="Wire Dipisahkan, Produk RS &amp; Repair MTN"/>
    <m/>
    <s v="V4A3O19"/>
    <s v="001"/>
    <s v="4 / 5"/>
    <n v="2"/>
    <d v="2023-10-23T00:00:00"/>
    <d v="2023-10-24T00:00:00"/>
    <s v="Closed"/>
    <n v="0"/>
    <n v="2"/>
    <s v="Mr. Koko"/>
    <x v="61"/>
    <s v="PRODUCT DISCRAPE"/>
    <m/>
  </r>
  <r>
    <m/>
    <x v="16"/>
    <x v="0"/>
    <s v="sedang"/>
    <x v="9"/>
    <s v="D2IDW4A-1"/>
    <x v="0"/>
    <n v="0.57999999999999996"/>
    <s v="TACI"/>
    <s v="APP NG"/>
    <x v="2"/>
    <s v="Next T/U Ok"/>
    <m/>
    <s v="VOB3O27"/>
    <s v="001"/>
    <s v="1"/>
    <n v="1"/>
    <d v="2023-10-29T00:00:00"/>
    <d v="2023-10-30T00:00:00"/>
    <s v="Closed"/>
    <n v="1"/>
    <n v="0"/>
    <s v="Mr. Koko"/>
    <x v="61"/>
    <s v="SPECIAL PASS OK"/>
    <m/>
  </r>
  <r>
    <m/>
    <x v="16"/>
    <x v="0"/>
    <s v="sedang"/>
    <x v="2"/>
    <s v="2EIWAD-O"/>
    <x v="0"/>
    <n v="1.65"/>
    <s v="MEAA-OH"/>
    <s v="DF Small"/>
    <x v="2"/>
    <s v="Temperature Cure Diturunkan 3°C"/>
    <m/>
    <s v="V6B3O25"/>
    <s v="001"/>
    <s v="1 S/D 5"/>
    <n v="5"/>
    <d v="2023-10-27T00:00:00"/>
    <d v="2023-10-30T00:00:00"/>
    <s v="Closed"/>
    <n v="5"/>
    <n v="0"/>
    <s v="Mr. Koko"/>
    <x v="61"/>
    <s v="SPECIAL PASS OK"/>
    <m/>
  </r>
  <r>
    <m/>
    <x v="16"/>
    <x v="0"/>
    <s v="sedang"/>
    <x v="6"/>
    <s v="2PEW"/>
    <x v="0"/>
    <n v="0.7"/>
    <s v="MELCO"/>
    <s v="APP NG"/>
    <x v="2"/>
    <s v="Check Pass Line"/>
    <m/>
    <s v="V8D3O18"/>
    <s v="001"/>
    <s v="1.2.3.4"/>
    <n v="4"/>
    <d v="2023-10-18T00:00:00"/>
    <d v="2023-10-30T00:00:00"/>
    <s v="Closed"/>
    <n v="4"/>
    <n v="0"/>
    <s v="Mr. Koko"/>
    <x v="61"/>
    <s v="SPECIAL PASS OK"/>
    <m/>
  </r>
  <r>
    <m/>
    <x v="16"/>
    <x v="0"/>
    <s v="sedang"/>
    <x v="7"/>
    <s v="D2DSW2"/>
    <x v="1"/>
    <n v="0.5"/>
    <s v="HAMADEN"/>
    <s v="Banyak Oil"/>
    <x v="121"/>
    <s v="Cleaning Sheave Makitori"/>
    <m/>
    <s v="V4A3O22"/>
    <s v="001"/>
    <s v="5"/>
    <n v="1"/>
    <d v="1899-12-31T00:00:00"/>
    <d v="2023-10-23T00:00:00"/>
    <s v="Closed"/>
    <n v="1"/>
    <n v="0"/>
    <s v="Mr. Koko"/>
    <x v="61"/>
    <s v="SPECIAL PASS OK"/>
    <m/>
  </r>
  <r>
    <m/>
    <x v="16"/>
    <x v="0"/>
    <s v="sedang"/>
    <x v="10"/>
    <s v="0FBWSHC"/>
    <x v="0"/>
    <n v="1.2"/>
    <s v="MITSUBA"/>
    <s v="Blister"/>
    <x v="2"/>
    <m/>
    <m/>
    <s v="V9B3O22"/>
    <s v="001"/>
    <s v="1"/>
    <n v="1"/>
    <d v="2023-10-23T00:00:00"/>
    <d v="2023-10-24T00:00:00"/>
    <s v="Closed"/>
    <n v="0"/>
    <n v="1"/>
    <s v="Mr. Koko"/>
    <x v="61"/>
    <s v="PRODUCT DISCRAPE"/>
    <m/>
  </r>
  <r>
    <m/>
    <x v="16"/>
    <x v="0"/>
    <s v="sedang"/>
    <x v="23"/>
    <s v="D1-PEW-B-2Y"/>
    <x v="0"/>
    <n v="0.75"/>
    <s v="SEI-ASMO"/>
    <s v="Horiba Small"/>
    <x v="2"/>
    <s v="Tambah Level Oil"/>
    <m/>
    <s v="VOA3O26"/>
    <s v="004"/>
    <s v="1 S/D 5"/>
    <n v="5"/>
    <d v="2023-10-27T00:00:00"/>
    <d v="2023-10-30T00:00:00"/>
    <s v="Closed"/>
    <n v="5"/>
    <n v="0"/>
    <s v="Mr. Koko"/>
    <x v="61"/>
    <s v="SPECIAL PASS OK"/>
    <m/>
  </r>
  <r>
    <m/>
    <x v="16"/>
    <x v="0"/>
    <s v="sedang"/>
    <x v="23"/>
    <s v="D1-PEW-B-2T"/>
    <x v="1"/>
    <n v="0.6"/>
    <s v="DMIA"/>
    <s v="Under Weight"/>
    <x v="122"/>
    <s v="Perbaikan MTN"/>
    <m/>
    <s v="VOA3O20"/>
    <s v="001"/>
    <s v="4.5"/>
    <n v="2"/>
    <d v="2023-10-20T00:00:00"/>
    <d v="2023-10-31T00:00:00"/>
    <s v="Closed"/>
    <n v="2"/>
    <n v="0"/>
    <s v="Mr. Koko"/>
    <x v="61"/>
    <s v="SPECIAL PASS OK"/>
    <m/>
  </r>
  <r>
    <m/>
    <x v="16"/>
    <x v="0"/>
    <s v="sedang"/>
    <x v="7"/>
    <s v="D2DSW2"/>
    <x v="1"/>
    <n v="0.5"/>
    <s v="HAMADEN"/>
    <s v="Wire Fibrasi"/>
    <x v="123"/>
    <m/>
    <m/>
    <s v="V4A3O17"/>
    <s v="001"/>
    <s v="4.5"/>
    <n v="2"/>
    <d v="2023-10-17T00:00:00"/>
    <d v="2023-10-18T00:00:00"/>
    <s v="Closed"/>
    <n v="2"/>
    <n v="0"/>
    <s v="Mr. Koko"/>
    <x v="61"/>
    <s v="SPECIAL PASS OK"/>
    <m/>
  </r>
  <r>
    <m/>
    <x v="16"/>
    <x v="0"/>
    <s v="sedang"/>
    <x v="7"/>
    <s v="D2DSW2"/>
    <x v="0"/>
    <n v="0.5"/>
    <s v="HAMADEN"/>
    <s v="Rolling CD Scratch"/>
    <x v="124"/>
    <s v="Change Neru Sebelum Oven"/>
    <m/>
    <s v="V4A3O27"/>
    <s v="001"/>
    <s v="10"/>
    <n v="1"/>
    <d v="2023-10-28T00:00:00"/>
    <d v="2023-10-31T00:00:00"/>
    <s v="Closed"/>
    <n v="1"/>
    <n v="0"/>
    <s v="Mr. Koko"/>
    <x v="61"/>
    <s v="SPECIAL PASS OK"/>
    <m/>
  </r>
  <r>
    <m/>
    <x v="16"/>
    <x v="0"/>
    <s v="sedang"/>
    <x v="16"/>
    <s v="1HGZ-MA"/>
    <x v="1"/>
    <n v="1.18"/>
    <s v="LAMCOR"/>
    <s v="Temperature Annealer NG"/>
    <x v="125"/>
    <s v="Setting Temperature Inlet Annealer Sesuai Standard"/>
    <m/>
    <s v="V6A3O25"/>
    <s v="001"/>
    <s v="1 S/D 5"/>
    <n v="5"/>
    <d v="2023-10-25T00:00:00"/>
    <d v="2023-10-31T00:00:00"/>
    <s v="Closed"/>
    <n v="5"/>
    <n v="0"/>
    <s v="Mr. Koko"/>
    <x v="61"/>
    <s v="SPECIAL PASS OK"/>
    <m/>
  </r>
  <r>
    <m/>
    <x v="16"/>
    <x v="0"/>
    <s v="sedang"/>
    <x v="11"/>
    <s v="2EIWADO-O"/>
    <x v="1"/>
    <n v="1.81"/>
    <s v="MEAA-OH"/>
    <s v="Capstand FP Fluktuasi "/>
    <x v="2"/>
    <s v="Normal Sendiri"/>
    <m/>
    <s v="12A3O23"/>
    <s v="002"/>
    <s v="4"/>
    <n v="1"/>
    <d v="2023-10-24T00:00:00"/>
    <d v="2023-10-27T00:00:00"/>
    <s v="Closed"/>
    <n v="1"/>
    <n v="0"/>
    <s v="Mr. Koko"/>
    <x v="61"/>
    <s v="SPECIAL PASS OK"/>
    <m/>
  </r>
  <r>
    <m/>
    <x v="16"/>
    <x v="0"/>
    <s v="sedang"/>
    <x v="7"/>
    <s v="D2DSW2"/>
    <x v="0"/>
    <n v="0.5"/>
    <s v="HAMADEN"/>
    <s v="Conductor Scratch"/>
    <x v="2"/>
    <s v="Rotary Dies Inline"/>
    <m/>
    <s v="V4A3O30"/>
    <s v="001"/>
    <s v="6"/>
    <n v="1"/>
    <d v="2023-10-31T00:00:00"/>
    <d v="2023-11-07T00:00:00"/>
    <s v="Closed"/>
    <n v="1"/>
    <n v="0"/>
    <s v="Mr. Koko"/>
    <x v="61"/>
    <s v="SPECIAL PASS OK"/>
    <m/>
  </r>
  <r>
    <m/>
    <x v="16"/>
    <x v="0"/>
    <s v="sedang"/>
    <x v="7"/>
    <s v="D2DSW2"/>
    <x v="0"/>
    <n v="0.5"/>
    <s v="HAMADEN"/>
    <s v="Conductor Scratch"/>
    <x v="2"/>
    <m/>
    <m/>
    <s v="V4A3O31"/>
    <s v="001 / 002"/>
    <s v="6"/>
    <n v="2"/>
    <d v="2023-11-01T00:00:00"/>
    <d v="2023-11-07T00:00:00"/>
    <s v="Closed"/>
    <n v="2"/>
    <n v="0"/>
    <s v="Mr. Koko"/>
    <x v="61"/>
    <s v="SPECIAL PASS OK"/>
    <m/>
  </r>
  <r>
    <m/>
    <x v="16"/>
    <x v="0"/>
    <s v="sedang"/>
    <x v="1"/>
    <s v="2PEW"/>
    <x v="1"/>
    <n v="0.8"/>
    <s v="MELCO"/>
    <s v="Temperature Inlet Oven Fluktuasi"/>
    <x v="2"/>
    <s v="Perbaikan MTN"/>
    <m/>
    <s v="11B3O31"/>
    <s v="002 / 003 / 004"/>
    <s v="1 S/D 5"/>
    <n v="15"/>
    <d v="2023-11-01T00:00:00"/>
    <d v="2023-11-08T00:00:00"/>
    <s v="Closed"/>
    <n v="15"/>
    <n v="0"/>
    <s v="Mr. Koko"/>
    <x v="61"/>
    <s v="SPECIAL PASS OK"/>
    <m/>
  </r>
  <r>
    <m/>
    <x v="16"/>
    <x v="0"/>
    <s v="sedang"/>
    <x v="0"/>
    <s v="2PEW"/>
    <x v="0"/>
    <n v="0.77"/>
    <s v="MEAINA"/>
    <s v="Ada Powder"/>
    <x v="2"/>
    <s v="Cleaning CD &amp; Ganti Felt E-Oil"/>
    <m/>
    <s v="11A3O31"/>
    <s v="003"/>
    <s v="2 &amp; 4"/>
    <n v="2"/>
    <d v="2023-11-01T00:00:00"/>
    <d v="2023-11-09T00:00:00"/>
    <s v="Closed"/>
    <n v="0"/>
    <n v="2"/>
    <s v="Mr. Koko"/>
    <x v="61"/>
    <s v="PRODUCT DISCRAPE"/>
    <m/>
  </r>
  <r>
    <m/>
    <x v="16"/>
    <x v="0"/>
    <s v="sedang"/>
    <x v="1"/>
    <s v="2PEW"/>
    <x v="1"/>
    <n v="0.8"/>
    <s v="MELCO"/>
    <s v="Temperature Inlet Fluktuasi &amp; Laser Micro"/>
    <x v="2"/>
    <s v="Adjust Dumper &amp; Pressure Fan"/>
    <m/>
    <s v="11B3O31"/>
    <s v="001"/>
    <s v="1 S/D 5"/>
    <n v="5"/>
    <d v="2023-10-31T00:00:00"/>
    <d v="2023-11-07T00:00:00"/>
    <s v="Closed"/>
    <n v="5"/>
    <n v="0"/>
    <s v="Mr. Koko"/>
    <x v="61"/>
    <s v="SPECIAL PASS OK"/>
    <m/>
  </r>
  <r>
    <m/>
    <x v="16"/>
    <x v="0"/>
    <s v="sedang"/>
    <x v="7"/>
    <s v="D2DSW2"/>
    <x v="0"/>
    <n v="0.5"/>
    <s v="HAMADEN"/>
    <s v="App Blister"/>
    <x v="126"/>
    <s v="Adjust Pass Line Dalam Oven (Spool Scrap)"/>
    <m/>
    <s v="V4A3O11"/>
    <s v="001"/>
    <s v="9.10"/>
    <n v="2"/>
    <d v="2023-10-12T00:00:00"/>
    <d v="2023-10-13T00:00:00"/>
    <s v="Closed"/>
    <n v="2"/>
    <n v="0"/>
    <s v="Mr. Koko"/>
    <x v="61"/>
    <s v="SPECIAL PASS OK"/>
    <m/>
  </r>
  <r>
    <m/>
    <x v="16"/>
    <x v="1"/>
    <s v="sedang"/>
    <x v="14"/>
    <s v="D2IDW4-B-2"/>
    <x v="0"/>
    <n v="0.26"/>
    <s v="SEI-ASMO"/>
    <s v="OD Small"/>
    <x v="127"/>
    <s v="Check Next T/U 002"/>
    <m/>
    <s v="H2A3O05"/>
    <s v="001"/>
    <s v="4"/>
    <n v="1"/>
    <d v="2023-10-05T00:00:00"/>
    <d v="2023-10-09T00:00:00"/>
    <s v="Closed"/>
    <n v="1"/>
    <n v="0"/>
    <s v="Mr. Koko"/>
    <x v="61"/>
    <s v="SPECIAL PASS OK"/>
    <m/>
  </r>
  <r>
    <m/>
    <x v="16"/>
    <x v="1"/>
    <s v="sedang"/>
    <x v="18"/>
    <s v="D2IDW4-B-2"/>
    <x v="0"/>
    <n v="0.26"/>
    <s v="SEI-ASMO"/>
    <s v="OD Hempei &amp; CD Big"/>
    <x v="2"/>
    <s v="Little Scrap"/>
    <m/>
    <s v="H1B3O07"/>
    <s v="002"/>
    <s v="4"/>
    <n v="1"/>
    <d v="2023-10-08T00:00:00"/>
    <d v="2023-10-09T00:00:00"/>
    <s v="Closed"/>
    <n v="1"/>
    <n v="0"/>
    <s v="Mr. Koko"/>
    <x v="61"/>
    <s v="SPECIAL PASS OK"/>
    <m/>
  </r>
  <r>
    <m/>
    <x v="16"/>
    <x v="1"/>
    <s v="sedang"/>
    <x v="22"/>
    <s v="2AIW"/>
    <x v="0"/>
    <n v="0.37"/>
    <s v="MAPI"/>
    <s v="ECC Big"/>
    <x v="128"/>
    <s v="- Ganti Dies - Centering Ulang"/>
    <m/>
    <s v="H2B3O02"/>
    <s v="001"/>
    <s v="2"/>
    <n v="1"/>
    <d v="2023-10-03T00:00:00"/>
    <d v="2023-10-04T00:00:00"/>
    <s v="Closed"/>
    <n v="1"/>
    <n v="0"/>
    <s v="Mr. Koko"/>
    <x v="61"/>
    <s v="SPECIAL PASS OK"/>
    <m/>
  </r>
  <r>
    <m/>
    <x v="16"/>
    <x v="1"/>
    <s v="sedang"/>
    <x v="31"/>
    <s v="2-ATZ-300"/>
    <x v="0"/>
    <n v="0.13"/>
    <s v="NDKI"/>
    <s v="Bad Winding"/>
    <x v="129"/>
    <s v="- Reel Change - Adjust Traverse Winding"/>
    <m/>
    <s v="H773O04"/>
    <s v="001"/>
    <s v="2.7.8"/>
    <n v="3"/>
    <d v="2023-10-04T00:00:00"/>
    <d v="2023-10-10T00:00:00"/>
    <s v="Closed"/>
    <n v="3"/>
    <n v="0"/>
    <s v="Mr. Koko"/>
    <x v="61"/>
    <s v="SPECIAL PASS OK"/>
    <m/>
  </r>
  <r>
    <m/>
    <x v="16"/>
    <x v="1"/>
    <s v="sedang"/>
    <x v="29"/>
    <s v="2AIW"/>
    <x v="0"/>
    <n v="0.21"/>
    <s v="MITSUBA"/>
    <s v="Spool Pecah "/>
    <x v="130"/>
    <s v="Rewinding Produk"/>
    <m/>
    <s v="H5A3O02"/>
    <s v="001"/>
    <s v="1"/>
    <n v="1"/>
    <d v="2023-10-03T00:00:00"/>
    <d v="2023-10-04T00:00:00"/>
    <s v="Closed"/>
    <n v="1"/>
    <n v="0"/>
    <s v="Mr. Koko"/>
    <x v="61"/>
    <s v="SPECIAL PASS OK"/>
    <m/>
  </r>
  <r>
    <m/>
    <x v="16"/>
    <x v="1"/>
    <s v="sedang"/>
    <x v="20"/>
    <s v="D2IDW4-B-2"/>
    <x v="0"/>
    <n v="0.26"/>
    <s v="SEI-ASMO"/>
    <s v="OD Big"/>
    <x v="21"/>
    <s v="Ganti Dies Coating"/>
    <m/>
    <s v="H1A3O26"/>
    <s v="001"/>
    <s v="1"/>
    <n v="1"/>
    <d v="2023-10-26T00:00:00"/>
    <d v="2023-10-30T00:00:00"/>
    <s v="Closed"/>
    <n v="1"/>
    <n v="0"/>
    <s v="Mr. Koko"/>
    <x v="61"/>
    <s v="SPECIAL PASS OK"/>
    <m/>
  </r>
  <r>
    <m/>
    <x v="16"/>
    <x v="1"/>
    <s v="sedang"/>
    <x v="20"/>
    <s v="D2IDW4-B-2"/>
    <x v="0"/>
    <n v="0.26"/>
    <s v="SEI-ASMO"/>
    <s v="Ekor Wire Banyak &amp; ECC Big"/>
    <x v="2"/>
    <s v="Rewinding"/>
    <m/>
    <s v="H1A3O24"/>
    <s v="001"/>
    <s v="1.3"/>
    <n v="2"/>
    <d v="2023-10-25T00:00:00"/>
    <d v="2023-10-30T00:00:00"/>
    <s v="Closed"/>
    <n v="2"/>
    <n v="0"/>
    <s v="Mr. Koko"/>
    <x v="61"/>
    <s v="SPECIAL PASS OK"/>
    <m/>
  </r>
  <r>
    <m/>
    <x v="16"/>
    <x v="1"/>
    <s v="sedang"/>
    <x v="18"/>
    <s v="D2IDW4-B-2"/>
    <x v="0"/>
    <n v="0.26"/>
    <s v="SEI-ASMO"/>
    <s v="ECC Big"/>
    <x v="73"/>
    <s v="Pass Line Check"/>
    <m/>
    <s v="H1B3O26"/>
    <s v="001"/>
    <s v="5"/>
    <n v="1"/>
    <d v="2023-10-27T00:00:00"/>
    <d v="2023-10-30T00:00:00"/>
    <s v="Closed"/>
    <n v="1"/>
    <n v="0"/>
    <s v="Mr. Koko"/>
    <x v="61"/>
    <s v="SPECIAL PASS OK"/>
    <m/>
  </r>
  <r>
    <m/>
    <x v="16"/>
    <x v="1"/>
    <s v="sedang"/>
    <x v="19"/>
    <s v="2AIW"/>
    <x v="0"/>
    <n v="0.16"/>
    <s v="HITACHI ASTEMO"/>
    <s v="Gulungan Keluar"/>
    <x v="131"/>
    <s v="Mc Stop"/>
    <m/>
    <s v="H763O21"/>
    <s v="001"/>
    <s v="10"/>
    <n v="1"/>
    <d v="2023-10-23T00:00:00"/>
    <d v="2023-10-30T00:00:00"/>
    <s v="Closed"/>
    <n v="1"/>
    <n v="0"/>
    <s v="Mr. Koko"/>
    <x v="61"/>
    <s v="SPECIAL PASS OK"/>
    <m/>
  </r>
  <r>
    <m/>
    <x v="16"/>
    <x v="1"/>
    <s v="sedang"/>
    <x v="12"/>
    <s v="2-ATZ-300"/>
    <x v="1"/>
    <n v="0.35"/>
    <s v="VNTEC"/>
    <s v="Setting Terbalik"/>
    <x v="132"/>
    <s v="- Setting Ulang Sesuai Indikasi "/>
    <m/>
    <s v="H3AB3O24 / 28"/>
    <s v="001 S /D 006"/>
    <s v="1"/>
    <n v="12"/>
    <d v="2023-10-27T00:00:00"/>
    <d v="2023-11-10T00:00:00"/>
    <s v="Closed"/>
    <n v="12"/>
    <n v="0"/>
    <s v="Mr. Koko"/>
    <x v="61"/>
    <s v="SPECIAL PASS OK"/>
    <m/>
  </r>
  <r>
    <m/>
    <x v="17"/>
    <x v="0"/>
    <s v="sedang"/>
    <x v="16"/>
    <s v="1HGZ-MA"/>
    <x v="1"/>
    <n v="1.18"/>
    <s v="LAMCOR"/>
    <s v="Air Wiper Inline Off"/>
    <x v="2"/>
    <s v="Repair By MTN"/>
    <m/>
    <s v="V6A3X15"/>
    <s v="001"/>
    <s v="1 S/D 5"/>
    <n v="5"/>
    <d v="2023-11-15T00:00:00"/>
    <d v="2023-11-22T00:00:00"/>
    <s v="Closed"/>
    <n v="5"/>
    <n v="0"/>
    <s v="Mr. Koko"/>
    <x v="61"/>
    <s v="SPECIAL PASS OK"/>
    <m/>
  </r>
  <r>
    <m/>
    <x v="17"/>
    <x v="0"/>
    <s v="sedang"/>
    <x v="9"/>
    <s v="D1-PEW-B-2Y"/>
    <x v="0"/>
    <n v="0.75"/>
    <s v="WIN-A"/>
    <s v="Horiba Kecil"/>
    <x v="2"/>
    <m/>
    <m/>
    <s v="VOB3X20 / VOB3X21"/>
    <s v="001 / 001"/>
    <s v="1 S/D 5"/>
    <n v="10"/>
    <d v="2023-11-22T00:00:00"/>
    <d v="2023-11-22T00:00:00"/>
    <s v="Closed"/>
    <n v="10"/>
    <n v="0"/>
    <s v="Mr. Koko"/>
    <x v="61"/>
    <s v="SPECIAL PASS OK"/>
    <m/>
  </r>
  <r>
    <m/>
    <x v="17"/>
    <x v="0"/>
    <s v="sedang"/>
    <x v="15"/>
    <s v="2PEW"/>
    <x v="0"/>
    <n v="1"/>
    <s v="MELCO"/>
    <s v="Horiba Big"/>
    <x v="2"/>
    <m/>
    <m/>
    <s v="V8B3X21"/>
    <s v="003"/>
    <s v="1 S/D 3"/>
    <n v="3"/>
    <d v="2023-11-22T00:00:00"/>
    <d v="2023-11-22T00:00:00"/>
    <s v="Closed"/>
    <n v="3"/>
    <n v="0"/>
    <s v="Mr. Koko"/>
    <x v="61"/>
    <s v="SPECIAL PASS OK"/>
    <m/>
  </r>
  <r>
    <m/>
    <x v="17"/>
    <x v="0"/>
    <s v="sedang"/>
    <x v="15"/>
    <s v="2PEW"/>
    <x v="0"/>
    <n v="1"/>
    <s v="MELCO"/>
    <s v="CD Small &amp; Scratch"/>
    <x v="2"/>
    <s v="Change Dies Inline"/>
    <m/>
    <s v="V8B3X21"/>
    <s v="002"/>
    <s v="1.3"/>
    <n v="2"/>
    <d v="2023-11-21T00:00:00"/>
    <d v="2023-11-22T00:00:00"/>
    <s v="Closed"/>
    <n v="2"/>
    <n v="0"/>
    <s v="Mr. Koko"/>
    <x v="61"/>
    <s v="SPECIAL PASS OK"/>
    <m/>
  </r>
  <r>
    <m/>
    <x v="17"/>
    <x v="0"/>
    <s v="sedang"/>
    <x v="6"/>
    <s v="1AIW-S"/>
    <x v="0"/>
    <n v="0.65"/>
    <s v="PIDSG"/>
    <s v="Wire Silang"/>
    <x v="2"/>
    <s v="Set Traverse Winding"/>
    <m/>
    <s v="V8D3X21"/>
    <s v="007"/>
    <s v="1"/>
    <n v="1"/>
    <d v="2023-11-21T00:00:00"/>
    <d v="2023-11-22T00:00:00"/>
    <s v="Closed"/>
    <n v="1"/>
    <n v="0"/>
    <s v="Mr. Koko"/>
    <x v="61"/>
    <s v="SPECIAL PASS OK"/>
    <m/>
  </r>
  <r>
    <m/>
    <x v="17"/>
    <x v="0"/>
    <s v="sedang"/>
    <x v="5"/>
    <s v="1AIW-S"/>
    <x v="0"/>
    <n v="0.7"/>
    <s v="PIDSG"/>
    <s v="Gulungan Kendor Bawah"/>
    <x v="2"/>
    <s v="Cek Winding"/>
    <m/>
    <s v="V8C3X21"/>
    <s v="004 / 005"/>
    <s v="2"/>
    <n v="2"/>
    <d v="2023-11-21T00:00:00"/>
    <d v="2023-11-22T00:00:00"/>
    <s v="Closed"/>
    <n v="2"/>
    <n v="0"/>
    <s v="Mr. Koko"/>
    <x v="61"/>
    <s v="SPECIAL PASS OK"/>
    <m/>
  </r>
  <r>
    <m/>
    <x v="17"/>
    <x v="0"/>
    <s v="sedang"/>
    <x v="7"/>
    <s v="D2DSW2"/>
    <x v="0"/>
    <n v="0.5"/>
    <s v="HAMADEN"/>
    <s v="Bad Winding"/>
    <x v="2"/>
    <s v="Cek Winding / Traverse"/>
    <m/>
    <s v="V4A3X20"/>
    <s v="002"/>
    <s v="2"/>
    <n v="1"/>
    <d v="2023-11-21T00:00:00"/>
    <d v="2023-11-22T00:00:00"/>
    <s v="Closed"/>
    <n v="1"/>
    <n v="0"/>
    <s v="Mr. Koko"/>
    <x v="61"/>
    <s v="SPECIAL PASS OK"/>
    <m/>
  </r>
  <r>
    <m/>
    <x v="17"/>
    <x v="0"/>
    <s v="sedang"/>
    <x v="9"/>
    <s v="D1-PEW-B-2Y"/>
    <x v="0"/>
    <n v="0.75"/>
    <s v="WIN-A"/>
    <s v="Horiba Kecil"/>
    <x v="2"/>
    <s v="Tambah Level Oil"/>
    <m/>
    <s v="VOB3X20"/>
    <s v="Start Up"/>
    <s v="1"/>
    <n v="1"/>
    <d v="2023-11-21T00:00:00"/>
    <d v="2023-11-22T00:00:00"/>
    <s v="Closed"/>
    <n v="1"/>
    <n v="0"/>
    <s v="Mr. Koko"/>
    <x v="61"/>
    <s v="SPECIAL PASS OK"/>
    <m/>
  </r>
  <r>
    <m/>
    <x v="17"/>
    <x v="0"/>
    <s v="sedang"/>
    <x v="9"/>
    <s v="D1-PEW-B-2Y"/>
    <x v="0"/>
    <n v="0.75"/>
    <s v="WIN-A"/>
    <s v="Horiba Small"/>
    <x v="2"/>
    <s v="Adjust Roller SPB"/>
    <m/>
    <s v="VOB3X22"/>
    <s v="001"/>
    <s v="1.2.3.4.5"/>
    <n v="5"/>
    <d v="2023-11-22T00:00:00"/>
    <d v="2023-11-23T00:00:00"/>
    <s v="Closed"/>
    <n v="5"/>
    <n v="0"/>
    <s v="Mr. Koko"/>
    <x v="61"/>
    <s v="SPECIAL PASS OK"/>
    <m/>
  </r>
  <r>
    <m/>
    <x v="17"/>
    <x v="0"/>
    <s v="sedang"/>
    <x v="15"/>
    <s v="2PEW"/>
    <x v="0"/>
    <n v="1"/>
    <s v="MELCO"/>
    <s v="Horiba Big"/>
    <x v="2"/>
    <s v="Cleaning Sheave T/U Sampai Makitori"/>
    <m/>
    <s v="V8B3X22"/>
    <s v="001"/>
    <s v="1 S/D 3"/>
    <n v="3"/>
    <d v="2023-11-22T00:00:00"/>
    <d v="2023-11-23T00:00:00"/>
    <s v="Closed"/>
    <n v="3"/>
    <n v="0"/>
    <s v="Mr. Koko"/>
    <x v="61"/>
    <s v="SPECIAL PASS OK"/>
    <m/>
  </r>
  <r>
    <m/>
    <x v="17"/>
    <x v="0"/>
    <s v="sedang"/>
    <x v="15"/>
    <s v="2PEW"/>
    <x v="0"/>
    <n v="1"/>
    <s v="MELCO"/>
    <s v="Horiba Big"/>
    <x v="2"/>
    <s v="Fp"/>
    <m/>
    <s v="V8B3X22"/>
    <s v="002"/>
    <s v="1.2.3"/>
    <n v="3"/>
    <d v="2023-11-22T00:00:00"/>
    <d v="2023-11-23T00:00:00"/>
    <s v="Closed"/>
    <n v="3"/>
    <n v="0"/>
    <s v="Mr. Koko"/>
    <x v="61"/>
    <s v="SPECIAL PASS OK"/>
    <m/>
  </r>
  <r>
    <m/>
    <x v="17"/>
    <x v="0"/>
    <s v="sedang"/>
    <x v="8"/>
    <s v="0FBWCC"/>
    <x v="0"/>
    <n v="1.1000000000000001"/>
    <s v="YEID"/>
    <s v="Horiba Small"/>
    <x v="2"/>
    <m/>
    <m/>
    <s v="V9A3X19"/>
    <s v="004"/>
    <s v="1 S/D 5"/>
    <n v="5"/>
    <d v="2023-11-20T00:00:00"/>
    <d v="2023-11-21T00:00:00"/>
    <s v="Closed"/>
    <n v="5"/>
    <n v="0"/>
    <s v="Mr. Koko"/>
    <x v="61"/>
    <s v="SPECIAL PASS OK"/>
    <m/>
  </r>
  <r>
    <m/>
    <x v="17"/>
    <x v="0"/>
    <s v="sedang"/>
    <x v="7"/>
    <s v="D2DSW2"/>
    <x v="0"/>
    <n v="0.5"/>
    <s v="HAMADEN"/>
    <s v="CD Scratch"/>
    <x v="2"/>
    <s v="Rotary Dies Inline"/>
    <m/>
    <s v="V4A3X01"/>
    <s v="001 / 002"/>
    <s v="6 / 10"/>
    <n v="2"/>
    <d v="2023-11-02T00:00:00"/>
    <d v="2023-11-06T00:00:00"/>
    <s v="Closed"/>
    <n v="2"/>
    <n v="0"/>
    <s v="Mr. Koko"/>
    <x v="61"/>
    <s v="SPECIAL PASS OK"/>
    <m/>
  </r>
  <r>
    <m/>
    <x v="17"/>
    <x v="0"/>
    <s v="sedang"/>
    <x v="1"/>
    <s v="2PEW"/>
    <x v="1"/>
    <n v="0.8"/>
    <s v="MELCO"/>
    <s v="Temperature Inlet Oven Fluktuasi"/>
    <x v="2"/>
    <s v="Perbaikan MTN"/>
    <m/>
    <s v="11B3X01"/>
    <s v="001"/>
    <s v="1 S/D 5"/>
    <n v="5"/>
    <d v="2023-11-01T00:00:00"/>
    <d v="2023-11-07T00:00:00"/>
    <s v="Closed"/>
    <n v="5"/>
    <n v="0"/>
    <s v="Mr. Koko"/>
    <x v="61"/>
    <s v="SPECIAL PASS OK"/>
    <m/>
  </r>
  <r>
    <m/>
    <x v="17"/>
    <x v="0"/>
    <s v="sedang"/>
    <x v="1"/>
    <s v="2PEW"/>
    <x v="0"/>
    <n v="0.8"/>
    <s v="MELCO"/>
    <s v="Horiba Small"/>
    <x v="2"/>
    <s v="Tambah Level Oil"/>
    <m/>
    <s v="11B3X05"/>
    <s v="002"/>
    <s v="1 S/D 5"/>
    <n v="5"/>
    <d v="2023-11-06T00:00:00"/>
    <d v="2023-11-07T00:00:00"/>
    <s v="Closed"/>
    <n v="5"/>
    <n v="0"/>
    <s v="Mr. Koko"/>
    <x v="61"/>
    <s v="SPECIAL PASS OK"/>
    <m/>
  </r>
  <r>
    <m/>
    <x v="17"/>
    <x v="0"/>
    <s v="sedang"/>
    <x v="1"/>
    <s v="2PEW"/>
    <x v="0"/>
    <n v="0.8"/>
    <s v="MELCO"/>
    <s v="Banyak Parafin"/>
    <x v="2"/>
    <s v="Mc Stop"/>
    <m/>
    <s v="11B3X01"/>
    <s v="004"/>
    <s v="1 S/D 5"/>
    <n v="5"/>
    <d v="2023-11-02T00:00:00"/>
    <d v="2023-11-03T00:00:00"/>
    <s v="Closed"/>
    <n v="5"/>
    <n v="0"/>
    <s v="Mr. Koko"/>
    <x v="61"/>
    <s v="SPECIAL PASS OK"/>
    <m/>
  </r>
  <r>
    <m/>
    <x v="17"/>
    <x v="0"/>
    <s v="sedang"/>
    <x v="0"/>
    <s v="2PEW"/>
    <x v="0"/>
    <n v="0.77"/>
    <s v="MEAINA"/>
    <s v="Banyak Parafin"/>
    <x v="2"/>
    <s v="Tambah Level Oil"/>
    <m/>
    <s v="11A3X01"/>
    <s v="001 / 002"/>
    <s v="1 S/D 5"/>
    <n v="10"/>
    <d v="2023-11-02T00:00:00"/>
    <d v="2023-11-03T00:00:00"/>
    <s v="Closed"/>
    <n v="10"/>
    <n v="0"/>
    <s v="Mr. Koko"/>
    <x v="61"/>
    <s v="SPECIAL PASS OK"/>
    <m/>
  </r>
  <r>
    <m/>
    <x v="17"/>
    <x v="0"/>
    <s v="sedang"/>
    <x v="0"/>
    <s v="2PEW"/>
    <x v="1"/>
    <n v="0.73"/>
    <s v="MELCO"/>
    <s v="Laser Micro Alarm"/>
    <x v="2"/>
    <s v="Di Mesin Tidak Ada Alarm"/>
    <m/>
    <s v="11A3X06"/>
    <s v="005"/>
    <s v="4"/>
    <n v="1"/>
    <d v="2023-11-10T00:00:00"/>
    <d v="2023-11-15T00:00:00"/>
    <s v="Closed"/>
    <n v="1"/>
    <n v="0"/>
    <s v="Mr. Koko"/>
    <x v="61"/>
    <s v="SPECIAL PASS OK"/>
    <m/>
  </r>
  <r>
    <m/>
    <x v="17"/>
    <x v="0"/>
    <s v="sedang"/>
    <x v="1"/>
    <s v="2PEW"/>
    <x v="0"/>
    <n v="0.8"/>
    <s v="MELCO"/>
    <s v="App NG"/>
    <x v="2"/>
    <s v="Normal Sendiri"/>
    <m/>
    <s v="11B3X07"/>
    <s v="001"/>
    <s v="5"/>
    <n v="1"/>
    <d v="2023-11-07T00:00:00"/>
    <d v="2023-11-14T00:00:00"/>
    <s v="Closed"/>
    <n v="1"/>
    <n v="0"/>
    <s v="Mr. Koko"/>
    <x v="61"/>
    <s v="SPECIAL PASS OK"/>
    <m/>
  </r>
  <r>
    <m/>
    <x v="17"/>
    <x v="0"/>
    <s v="sedang"/>
    <x v="3"/>
    <s v="D1IDW-4-B-1"/>
    <x v="0"/>
    <n v="1.8"/>
    <s v="DENSO FAJAR PLANT"/>
    <s v="App Blister"/>
    <x v="2"/>
    <s v="Ganti BW &amp; Siwa Dies Coat &amp; TakeOut Varnish"/>
    <m/>
    <s v="V8A3X11"/>
    <s v="001 / 002"/>
    <s v="1"/>
    <n v="2"/>
    <d v="2023-11-12T00:00:00"/>
    <d v="2023-11-14T00:00:00"/>
    <s v="Closed"/>
    <n v="2"/>
    <n v="0"/>
    <s v="Mr. Koko"/>
    <x v="61"/>
    <s v="SPECIAL PASS OK"/>
    <m/>
  </r>
  <r>
    <m/>
    <x v="17"/>
    <x v="0"/>
    <s v="sedang"/>
    <x v="3"/>
    <s v="D1IDW-4-B-1"/>
    <x v="0"/>
    <n v="1.8"/>
    <s v="DENSO FAJAR PLANT"/>
    <s v="Blister"/>
    <x v="2"/>
    <s v="Masih Blister"/>
    <m/>
    <s v="V8A3X11"/>
    <s v="003 / 004 / 005 / 006"/>
    <s v="1"/>
    <n v="4"/>
    <d v="2023-11-11T00:00:00"/>
    <d v="2023-11-14T00:00:00"/>
    <s v="Closed"/>
    <n v="4"/>
    <n v="0"/>
    <s v="Mr. Koko"/>
    <x v="61"/>
    <s v="SPECIAL PASS OK"/>
    <m/>
  </r>
  <r>
    <m/>
    <x v="17"/>
    <x v="0"/>
    <s v="sedang"/>
    <x v="3"/>
    <s v="D1IDW-4-B-1"/>
    <x v="0"/>
    <n v="1.8"/>
    <s v="DENSO FAJAR PLANT"/>
    <s v="App Blister"/>
    <x v="2"/>
    <s v="Ganti BW &amp; Siwa Dies Coat &amp; TakeOut Varnish"/>
    <m/>
    <s v="V8A3X11"/>
    <s v="008"/>
    <s v="1"/>
    <n v="1"/>
    <d v="2023-11-12T00:00:00"/>
    <d v="2023-11-14T00:00:00"/>
    <s v="Closed"/>
    <n v="1"/>
    <n v="0"/>
    <s v="Mr. Koko"/>
    <x v="61"/>
    <s v="SPECIAL PASS OK"/>
    <m/>
  </r>
  <r>
    <m/>
    <x v="17"/>
    <x v="0"/>
    <s v="sedang"/>
    <x v="3"/>
    <s v="D1IDW-4-B-1"/>
    <x v="0"/>
    <n v="1.8"/>
    <s v="DENSO FAJAR PLANT"/>
    <s v="App Blister"/>
    <x v="2"/>
    <s v="Ganti BW &amp; Siwa Dies Coat &amp; TakeOut Varnish"/>
    <m/>
    <s v="V8A3X11"/>
    <s v="007"/>
    <s v="1"/>
    <n v="1"/>
    <d v="2023-11-12T00:00:00"/>
    <d v="2023-11-14T00:00:00"/>
    <s v="Closed"/>
    <n v="1"/>
    <n v="0"/>
    <s v="Mr. Koko"/>
    <x v="61"/>
    <s v="SPECIAL PASS OK"/>
    <m/>
  </r>
  <r>
    <m/>
    <x v="17"/>
    <x v="0"/>
    <s v="sedang"/>
    <x v="3"/>
    <s v="D1IDW-4-B-1"/>
    <x v="0"/>
    <n v="1.8"/>
    <s v="DENSO FAJAR PLANT"/>
    <s v="App Blister"/>
    <x v="2"/>
    <s v="Ganti BW &amp; Siwa Dies Coat &amp; TakeOut Varnish"/>
    <m/>
    <s v="V8A3X12"/>
    <s v="002"/>
    <s v="1"/>
    <n v="1"/>
    <d v="2023-11-12T00:00:00"/>
    <d v="2023-11-14T00:00:00"/>
    <s v="Closed"/>
    <n v="1"/>
    <n v="0"/>
    <s v="Mr. Koko"/>
    <x v="61"/>
    <s v="SPECIAL PASS OK"/>
    <m/>
  </r>
  <r>
    <m/>
    <x v="17"/>
    <x v="0"/>
    <s v="sedang"/>
    <x v="15"/>
    <s v="D2-PEW-B-1"/>
    <x v="0"/>
    <n v="0.4"/>
    <s v="HAMADEN"/>
    <s v="CD Scratch"/>
    <x v="2"/>
    <s v="Fp"/>
    <m/>
    <s v="V8B3X07"/>
    <s v="001"/>
    <s v="1"/>
    <n v="1"/>
    <d v="2023-11-08T00:00:00"/>
    <d v="2023-11-14T00:00:00"/>
    <s v="Closed"/>
    <n v="1"/>
    <n v="0"/>
    <s v="Mr. Koko"/>
    <x v="61"/>
    <s v="SPECIAL PASS OK"/>
    <m/>
  </r>
  <r>
    <m/>
    <x v="17"/>
    <x v="0"/>
    <s v="sedang"/>
    <x v="7"/>
    <s v="D2DSW2"/>
    <x v="0"/>
    <n v="0.5"/>
    <s v="HAMADEN"/>
    <s v="Scratch"/>
    <x v="2"/>
    <s v="Rotary Dies Inline"/>
    <m/>
    <s v="V4A3X07"/>
    <s v="001"/>
    <s v="5.9.10"/>
    <n v="3"/>
    <d v="2023-11-08T00:00:00"/>
    <d v="2023-11-14T00:00:00"/>
    <s v="Closed"/>
    <n v="3"/>
    <n v="0"/>
    <s v="Mr. Koko"/>
    <x v="61"/>
    <s v="SPECIAL PASS OK"/>
    <m/>
  </r>
  <r>
    <m/>
    <x v="17"/>
    <x v="0"/>
    <s v="sedang"/>
    <x v="0"/>
    <s v="D1-PEW-B-2Y"/>
    <x v="1"/>
    <n v="0.85"/>
    <s v="WIN-A (DMNC-S)"/>
    <s v="Laser Micro Alarm"/>
    <x v="2"/>
    <s v="Normal Sendiri"/>
    <m/>
    <s v="11A3X10"/>
    <s v="001"/>
    <s v="5"/>
    <n v="1"/>
    <d v="2023-11-10T00:00:00"/>
    <d v="2023-11-14T00:00:00"/>
    <s v="Closed"/>
    <n v="1"/>
    <n v="0"/>
    <s v="Mr. Koko"/>
    <x v="61"/>
    <s v="SPECIAL PASS OK"/>
    <m/>
  </r>
  <r>
    <m/>
    <x v="17"/>
    <x v="0"/>
    <s v="sedang"/>
    <x v="8"/>
    <s v="1-ATZ-300"/>
    <x v="0"/>
    <n v="1.25"/>
    <s v="YEID"/>
    <s v="Hanten"/>
    <x v="133"/>
    <s v="Siwa"/>
    <m/>
    <s v="V9A3X15"/>
    <s v="005"/>
    <s v="4"/>
    <n v="1"/>
    <d v="2023-11-15T00:00:00"/>
    <d v="2023-11-21T00:00:00"/>
    <s v="Closed"/>
    <n v="0"/>
    <n v="1"/>
    <s v="Mr. Koko"/>
    <x v="61"/>
    <s v="PRODUCT DISCRAPE"/>
    <m/>
  </r>
  <r>
    <m/>
    <x v="17"/>
    <x v="0"/>
    <s v="sedang"/>
    <x v="23"/>
    <s v="D1-PEW-B-2T"/>
    <x v="0"/>
    <n v="0.5"/>
    <s v="DMIA"/>
    <s v="App Sure"/>
    <x v="2"/>
    <s v="- Siwa - Rotary Inline Dies - Change Felt Setelah Inline"/>
    <m/>
    <s v="VOA3X12"/>
    <s v="003 / 004"/>
    <s v="4"/>
    <n v="2"/>
    <d v="2023-11-13T00:00:00"/>
    <d v="2023-11-21T00:00:00"/>
    <s v="Closed"/>
    <n v="0"/>
    <n v="2"/>
    <s v="Mr. Koko"/>
    <x v="61"/>
    <s v="PRODUCT DISCRAPE"/>
    <m/>
  </r>
  <r>
    <m/>
    <x v="17"/>
    <x v="0"/>
    <s v="sedang"/>
    <x v="23"/>
    <s v="D1-PEW-B-2T"/>
    <x v="0"/>
    <n v="0.6"/>
    <s v="DMIA"/>
    <s v="App Sure"/>
    <x v="2"/>
    <s v="- Siwa - Rotary Inline Dies - Change Felt Setelah Inline Dies"/>
    <m/>
    <s v="VOA3X13"/>
    <s v="001"/>
    <s v="4"/>
    <n v="1"/>
    <d v="2023-11-13T00:00:00"/>
    <d v="2023-11-21T00:00:00"/>
    <s v="Closed"/>
    <n v="0"/>
    <n v="1"/>
    <s v="Mr. Koko"/>
    <x v="61"/>
    <s v="PRODUCT DISCRAPE"/>
    <m/>
  </r>
  <r>
    <m/>
    <x v="17"/>
    <x v="0"/>
    <s v="sedang"/>
    <x v="17"/>
    <s v="D2IDW-4-B-2"/>
    <x v="0"/>
    <n v="0.44"/>
    <s v="DMIA"/>
    <s v="Horiba Small"/>
    <x v="2"/>
    <s v="Re Start "/>
    <m/>
    <s v="V4B3X15"/>
    <s v="001"/>
    <s v="1 S/D 10"/>
    <n v="10"/>
    <d v="2023-11-17T00:00:00"/>
    <d v="2023-11-21T00:00:00"/>
    <s v="Closed"/>
    <n v="10"/>
    <n v="0"/>
    <s v="Mr. Koko"/>
    <x v="61"/>
    <s v="SPECIAL PASS OK"/>
    <m/>
  </r>
  <r>
    <m/>
    <x v="17"/>
    <x v="0"/>
    <s v="sedang"/>
    <x v="11"/>
    <s v="2EIWAD-EPS"/>
    <x v="0"/>
    <n v="1.25"/>
    <s v="MELCO"/>
    <s v="M-TAN AI Small"/>
    <x v="2"/>
    <m/>
    <m/>
    <s v="12A3X10"/>
    <s v="Start Up"/>
    <s v="2 S/D 5"/>
    <s v="Start Up"/>
    <d v="2023-11-11T00:00:00"/>
    <d v="2023-11-17T00:00:00"/>
    <s v="Closed"/>
    <s v="Start Up"/>
    <n v="0"/>
    <s v="Mr. Koko"/>
    <x v="61"/>
    <s v="SPECIAL PASS OK"/>
    <m/>
  </r>
  <r>
    <m/>
    <x v="17"/>
    <x v="0"/>
    <s v="sedang"/>
    <x v="2"/>
    <s v="2EIWAD-O"/>
    <x v="0"/>
    <n v="1.65"/>
    <s v="MEAA-OH"/>
    <s v="OD Small"/>
    <x v="2"/>
    <s v="Adjust WS FP-500 dari 18.90 ---&gt; 18.88 "/>
    <m/>
    <s v="V6B3X15"/>
    <s v="001"/>
    <s v="2"/>
    <n v="1"/>
    <d v="2023-11-15T00:00:00"/>
    <d v="2023-11-17T00:00:00"/>
    <s v="Closed"/>
    <n v="1"/>
    <n v="0"/>
    <s v="Mr. Koko"/>
    <x v="61"/>
    <s v="SPECIAL PASS OK"/>
    <m/>
  </r>
  <r>
    <m/>
    <x v="17"/>
    <x v="0"/>
    <s v="sedang"/>
    <x v="2"/>
    <s v="2EIWAD-O"/>
    <x v="0"/>
    <n v="1.65"/>
    <s v="MEAA-OH"/>
    <s v="OD Small"/>
    <x v="2"/>
    <s v="Adjust Tension WS FP-500 dari 18.90 ---&gt; 18.88 "/>
    <m/>
    <s v="V6B3X14"/>
    <s v="001"/>
    <s v="2"/>
    <n v="1"/>
    <d v="2023-11-15T00:00:00"/>
    <d v="2023-11-17T00:00:00"/>
    <s v="Closed"/>
    <n v="1"/>
    <n v="0"/>
    <s v="Mr. Koko"/>
    <x v="61"/>
    <s v="SPECIAL PASS OK"/>
    <m/>
  </r>
  <r>
    <m/>
    <x v="17"/>
    <x v="0"/>
    <s v="sedang"/>
    <x v="17"/>
    <s v="D2IDW-4-B-2"/>
    <x v="0"/>
    <n v="0.44"/>
    <s v="DMIA"/>
    <s v="Horiba Small"/>
    <x v="2"/>
    <s v="Tambah Oil"/>
    <m/>
    <s v="V4B3X14"/>
    <s v="001"/>
    <s v="1 S/D 10"/>
    <n v="10"/>
    <d v="2023-11-15T00:00:00"/>
    <d v="2023-11-17T00:00:00"/>
    <s v="Closed"/>
    <n v="10"/>
    <n v="0"/>
    <s v="Mr. Koko"/>
    <x v="61"/>
    <s v="SPECIAL PASS OK"/>
    <m/>
  </r>
  <r>
    <m/>
    <x v="17"/>
    <x v="0"/>
    <s v="sedang"/>
    <x v="7"/>
    <s v="D2DSW2"/>
    <x v="0"/>
    <n v="0.5"/>
    <s v="HAMADEN"/>
    <s v="Conductor Scratch"/>
    <x v="2"/>
    <s v="Ganti Dies Inline"/>
    <m/>
    <s v="V4A3X05"/>
    <s v="001"/>
    <s v="10"/>
    <n v="1"/>
    <d v="2023-11-06T00:00:00"/>
    <d v="2023-11-07T00:00:00"/>
    <s v="Closed"/>
    <n v="1"/>
    <n v="0"/>
    <s v="Mr. Koko"/>
    <x v="61"/>
    <s v="SPECIAL PASS OK"/>
    <m/>
  </r>
  <r>
    <m/>
    <x v="17"/>
    <x v="0"/>
    <s v="sedang"/>
    <x v="1"/>
    <s v="2PEW"/>
    <x v="1"/>
    <n v="0.8"/>
    <s v="MELCO"/>
    <s v="Laser Micro Alarm"/>
    <x v="2"/>
    <s v="Normal Sendiri"/>
    <m/>
    <s v="11B3X01"/>
    <s v="002"/>
    <s v="4"/>
    <n v="1"/>
    <d v="2023-11-01T00:00:00"/>
    <d v="2023-11-07T00:00:00"/>
    <s v="Closed"/>
    <n v="1"/>
    <n v="0"/>
    <s v="Mr. Koko"/>
    <x v="61"/>
    <s v="SPECIAL PASS OK"/>
    <m/>
  </r>
  <r>
    <m/>
    <x v="17"/>
    <x v="0"/>
    <s v="sedang"/>
    <x v="7"/>
    <s v="D2DSW2"/>
    <x v="0"/>
    <n v="0.5"/>
    <s v="HAMADEN"/>
    <s v="CD Scratch"/>
    <x v="2"/>
    <s v="Change Dies Inline"/>
    <m/>
    <s v="V4A3X05"/>
    <s v="002"/>
    <s v="6.10"/>
    <n v="2"/>
    <d v="2023-11-07T00:00:00"/>
    <d v="2023-11-07T00:00:00"/>
    <s v="Closed"/>
    <n v="2"/>
    <n v="0"/>
    <s v="Mr. Koko"/>
    <x v="61"/>
    <s v="SPECIAL PASS OK"/>
    <m/>
  </r>
  <r>
    <m/>
    <x v="17"/>
    <x v="0"/>
    <s v="sedang"/>
    <x v="11"/>
    <s v="2EIWAD-O"/>
    <x v="0"/>
    <n v="1.81"/>
    <s v="MELCO"/>
    <s v="Ujung Wire 3"/>
    <x v="2"/>
    <m/>
    <m/>
    <s v="12A3X04"/>
    <s v="001 / 004 "/>
    <s v="4"/>
    <n v="2"/>
    <d v="2023-11-07T00:00:00"/>
    <d v="2023-11-09T00:00:00"/>
    <s v="Closed"/>
    <n v="2"/>
    <n v="0"/>
    <s v="Mr. Koko"/>
    <x v="61"/>
    <s v="SPECIAL PASS OK"/>
    <m/>
  </r>
  <r>
    <m/>
    <x v="17"/>
    <x v="0"/>
    <s v="sedang"/>
    <x v="0"/>
    <s v="2PEW"/>
    <x v="1"/>
    <n v="0.73"/>
    <s v="MELCO"/>
    <s v="Laser Micro Alarm"/>
    <x v="2"/>
    <s v="Normal Sendiri"/>
    <m/>
    <s v="11A3X05"/>
    <s v="002 / 003"/>
    <s v="5 / 4"/>
    <n v="2"/>
    <d v="2023-11-05T00:00:00"/>
    <d v="2023-11-09T00:00:00"/>
    <s v="Closed"/>
    <n v="2"/>
    <n v="0"/>
    <s v="Mr. Koko"/>
    <x v="61"/>
    <s v="SPECIAL PASS OK"/>
    <m/>
  </r>
  <r>
    <m/>
    <x v="17"/>
    <x v="0"/>
    <s v="sedang"/>
    <x v="0"/>
    <s v="2PEW"/>
    <x v="1"/>
    <n v="0.73"/>
    <s v="MELCO"/>
    <s v="Laser Micro Alarm"/>
    <x v="2"/>
    <s v="Settingan Dirubah 0.771 ---&gt; 0.772"/>
    <m/>
    <s v="11A3X05"/>
    <s v="004"/>
    <s v="1 / 5"/>
    <n v="2"/>
    <d v="2023-11-06T00:00:00"/>
    <d v="2023-11-09T00:00:00"/>
    <s v="Closed"/>
    <n v="2"/>
    <n v="0"/>
    <s v="Mr. Koko"/>
    <x v="61"/>
    <s v="SPECIAL PASS OK"/>
    <m/>
  </r>
  <r>
    <m/>
    <x v="17"/>
    <x v="0"/>
    <s v="sedang"/>
    <x v="7"/>
    <s v="D2DSW2"/>
    <x v="0"/>
    <n v="0.5"/>
    <s v="HAMADEN"/>
    <s v="Conductor Scratch"/>
    <x v="2"/>
    <s v="Rotary Dies Inline &amp; Siwa"/>
    <m/>
    <s v="V4A3X02"/>
    <s v="001 / 002"/>
    <s v="6.10 / 6.10"/>
    <n v="4"/>
    <d v="2023-11-03T00:00:00"/>
    <d v="2023-11-06T00:00:00"/>
    <s v="Closed"/>
    <n v="4"/>
    <n v="0"/>
    <s v="Mr. Koko"/>
    <x v="61"/>
    <s v="SPECIAL PASS OK"/>
    <m/>
  </r>
  <r>
    <m/>
    <x v="17"/>
    <x v="0"/>
    <s v="sedang"/>
    <x v="1"/>
    <s v="2PEW"/>
    <x v="0"/>
    <n v="0.8"/>
    <s v="MELCO"/>
    <s v="Horiba Small"/>
    <x v="2"/>
    <s v="Cleaning Sheave Makitori"/>
    <m/>
    <s v="11B3X02"/>
    <s v="001"/>
    <s v="1 S/D 5"/>
    <n v="5"/>
    <d v="2023-11-03T00:00:00"/>
    <d v="2023-11-06T00:00:00"/>
    <s v="Closed"/>
    <n v="5"/>
    <n v="0"/>
    <s v="Mr. Koko"/>
    <x v="61"/>
    <s v="SPECIAL PASS OK"/>
    <m/>
  </r>
  <r>
    <m/>
    <x v="17"/>
    <x v="0"/>
    <s v="sedang"/>
    <x v="23"/>
    <s v="D1-PEW-B-2T"/>
    <x v="0"/>
    <n v="0.6"/>
    <s v="DMIA"/>
    <s v="APP Sure"/>
    <x v="2"/>
    <s v="Rotary &amp; Siwa"/>
    <m/>
    <s v="VOA3X05"/>
    <s v="001 / 002"/>
    <s v="4 / 4"/>
    <n v="2"/>
    <d v="2023-11-05T00:00:00"/>
    <d v="2023-11-06T00:00:00"/>
    <s v="Closed"/>
    <n v="2"/>
    <n v="0"/>
    <s v="Mr. Koko"/>
    <x v="61"/>
    <s v="SPECIAL PASS OK"/>
    <m/>
  </r>
  <r>
    <m/>
    <x v="17"/>
    <x v="0"/>
    <s v="sedang"/>
    <x v="7"/>
    <s v="D2DSW2"/>
    <x v="0"/>
    <n v="0.5"/>
    <s v="HAMADEN"/>
    <s v="Conductor Scratch"/>
    <x v="2"/>
    <s v="Rotary Dies Inline"/>
    <m/>
    <s v="V4A3X03"/>
    <s v="002"/>
    <s v="6"/>
    <n v="1"/>
    <d v="2023-11-04T00:00:00"/>
    <d v="2023-11-06T00:00:00"/>
    <s v="Closed"/>
    <n v="1"/>
    <n v="0"/>
    <s v="Mr. Koko"/>
    <x v="61"/>
    <s v="SPECIAL PASS OK"/>
    <m/>
  </r>
  <r>
    <m/>
    <x v="17"/>
    <x v="0"/>
    <s v="sedang"/>
    <x v="7"/>
    <s v="D2DSW2"/>
    <x v="0"/>
    <n v="0.5"/>
    <s v="HAMADEN"/>
    <s v="Antisipasi Grinding CD Scratch"/>
    <x v="2"/>
    <m/>
    <m/>
    <s v="V4A3X04"/>
    <s v="002"/>
    <s v="6"/>
    <n v="1"/>
    <d v="2023-11-05T00:00:00"/>
    <d v="2023-11-06T00:00:00"/>
    <s v="Closed"/>
    <n v="1"/>
    <n v="0"/>
    <s v="Mr. Koko"/>
    <x v="61"/>
    <s v="SPECIAL PASS OK"/>
    <m/>
  </r>
  <r>
    <m/>
    <x v="17"/>
    <x v="0"/>
    <s v="sedang"/>
    <x v="17"/>
    <s v="D2IDW-4-B-2"/>
    <x v="0"/>
    <n v="0.44"/>
    <s v="DMIA"/>
    <s v="Horiba Big"/>
    <x v="2"/>
    <s v="Adjust WS Roller Turun"/>
    <m/>
    <s v="V4B3X03"/>
    <s v="001"/>
    <s v="1 S/D 10"/>
    <n v="10"/>
    <d v="2023-11-04T00:00:00"/>
    <d v="2023-11-06T00:00:00"/>
    <s v="Closed"/>
    <n v="10"/>
    <n v="0"/>
    <s v="Mr. Koko"/>
    <x v="61"/>
    <s v="SPECIAL PASS OK"/>
    <m/>
  </r>
  <r>
    <m/>
    <x v="17"/>
    <x v="0"/>
    <s v="sedang"/>
    <x v="7"/>
    <s v="D2DSW2"/>
    <x v="0"/>
    <n v="0.5"/>
    <s v="HAMADEN"/>
    <s v="Conductor Scratch"/>
    <x v="2"/>
    <m/>
    <m/>
    <s v="V4A3X04"/>
    <s v="001"/>
    <s v="6"/>
    <n v="1"/>
    <d v="2023-11-05T00:00:00"/>
    <d v="2023-11-06T00:00:00"/>
    <s v="Closed"/>
    <n v="1"/>
    <n v="0"/>
    <s v="Mr. Koko"/>
    <x v="61"/>
    <s v="SPECIAL PASS OK"/>
    <m/>
  </r>
  <r>
    <m/>
    <x v="17"/>
    <x v="0"/>
    <s v="sedang"/>
    <x v="9"/>
    <s v="D2IDW-4-B-2"/>
    <x v="0"/>
    <n v="0.7"/>
    <s v="DMIA"/>
    <s v="Horiba Small"/>
    <x v="2"/>
    <s v="Tambah Level Oil"/>
    <m/>
    <s v="VOB3X03"/>
    <s v="001"/>
    <s v="1 S/D 5"/>
    <n v="5"/>
    <d v="2023-11-03T00:00:00"/>
    <d v="2023-11-06T00:00:00"/>
    <s v="Closed"/>
    <n v="5"/>
    <n v="0"/>
    <s v="Mr. Koko"/>
    <x v="61"/>
    <s v="SPECIAL PASS OK"/>
    <m/>
  </r>
  <r>
    <m/>
    <x v="17"/>
    <x v="0"/>
    <s v="sedang"/>
    <x v="7"/>
    <s v="D2DSW2"/>
    <x v="0"/>
    <n v="0.5"/>
    <s v="HAMADEN"/>
    <s v="Scratch CD NG"/>
    <x v="2"/>
    <s v="Rotary Dies Inline"/>
    <m/>
    <s v="V4A3X03"/>
    <s v="001"/>
    <s v="6"/>
    <n v="1"/>
    <d v="2023-11-04T00:00:00"/>
    <d v="2023-11-06T00:00:00"/>
    <s v="Closed"/>
    <n v="1"/>
    <n v="0"/>
    <s v="Mr. Koko"/>
    <x v="61"/>
    <s v="SPECIAL PASS OK"/>
    <m/>
  </r>
  <r>
    <m/>
    <x v="17"/>
    <x v="0"/>
    <s v="sedang"/>
    <x v="4"/>
    <s v="D1-IDW-4"/>
    <x v="1"/>
    <n v="1.1499999999999999"/>
    <s v="DENSO FAJAR PLANT"/>
    <s v="WS Inline Turun"/>
    <x v="2"/>
    <s v="- Tidak Ada WS Inline Kendor - Normal Sendiri"/>
    <m/>
    <s v="12B3X13"/>
    <s v="001"/>
    <s v="1 S/D 5"/>
    <n v="5"/>
    <d v="2023-11-13T00:00:00"/>
    <d v="2023-11-24T00:00:00"/>
    <s v="Closed"/>
    <n v="5"/>
    <n v="0"/>
    <s v="Mr. Koko"/>
    <x v="61"/>
    <s v="SPECIAL PASS OK"/>
    <m/>
  </r>
  <r>
    <m/>
    <x v="17"/>
    <x v="0"/>
    <s v="sedang"/>
    <x v="15"/>
    <s v="2AIW"/>
    <x v="1"/>
    <n v="0.6"/>
    <s v="MAPI"/>
    <s v="Wire Nyelip"/>
    <x v="2"/>
    <s v="Cek Wire Line Dibenerin Sesuai Jalurnya"/>
    <m/>
    <s v="V8B3X12"/>
    <s v="001"/>
    <s v="2 / 3"/>
    <n v="2"/>
    <d v="2023-11-13T00:00:00"/>
    <d v="2023-11-24T00:00:00"/>
    <s v="Closed"/>
    <n v="2"/>
    <n v="0"/>
    <s v="Mr. Koko"/>
    <x v="61"/>
    <s v="SPECIAL PASS OK"/>
    <m/>
  </r>
  <r>
    <m/>
    <x v="17"/>
    <x v="0"/>
    <s v="sedang"/>
    <x v="2"/>
    <s v="2EIWAD-O"/>
    <x v="1"/>
    <n v="1.65"/>
    <s v="MEAA-OH"/>
    <s v="Turn Table Fluktuasi"/>
    <x v="2"/>
    <s v="Adjust WS Turn Table"/>
    <m/>
    <s v="V6B3X10"/>
    <s v="001"/>
    <s v="1"/>
    <n v="1"/>
    <d v="2023-11-11T00:00:00"/>
    <d v="2023-11-24T00:00:00"/>
    <s v="Closed"/>
    <n v="1"/>
    <n v="0"/>
    <s v="Mr. Koko"/>
    <x v="61"/>
    <s v="SPECIAL PASS OK"/>
    <m/>
  </r>
  <r>
    <m/>
    <x v="17"/>
    <x v="0"/>
    <s v="sedang"/>
    <x v="2"/>
    <s v="2EIWAD-O"/>
    <x v="0"/>
    <n v="1.65"/>
    <s v="MEAA-OH"/>
    <s v="OD Hempei"/>
    <x v="2"/>
    <m/>
    <m/>
    <s v="V6B3X15"/>
    <s v="001"/>
    <s v="1"/>
    <n v="1"/>
    <d v="2023-11-17T00:00:00"/>
    <d v="2023-11-24T00:00:00"/>
    <s v="Closed"/>
    <n v="1"/>
    <n v="0"/>
    <s v="Mr. Koko"/>
    <x v="61"/>
    <s v="SPECIAL PASS OK"/>
    <m/>
  </r>
  <r>
    <m/>
    <x v="17"/>
    <x v="0"/>
    <s v="sedang"/>
    <x v="2"/>
    <s v="2EIWAD-O"/>
    <x v="0"/>
    <n v="1.65"/>
    <s v="MEAA-OH"/>
    <s v="OD Hempei"/>
    <x v="2"/>
    <m/>
    <m/>
    <s v="V6B3X10"/>
    <s v="001"/>
    <s v="4"/>
    <n v="1"/>
    <d v="2023-11-11T00:00:00"/>
    <d v="2023-11-24T00:00:00"/>
    <s v="Closed"/>
    <n v="1"/>
    <n v="0"/>
    <s v="Mr. Koko"/>
    <x v="61"/>
    <s v="SPECIAL PASS OK"/>
    <m/>
  </r>
  <r>
    <m/>
    <x v="17"/>
    <x v="0"/>
    <s v="sedang"/>
    <x v="15"/>
    <s v="2PEW"/>
    <x v="0"/>
    <n v="1"/>
    <s v="MELCO"/>
    <s v="DF Big &amp; Horiba Big"/>
    <x v="2"/>
    <m/>
    <m/>
    <s v="V8B3X20 / 21"/>
    <s v="002 / 003 / 001"/>
    <s v="1.2.3 / 1 S/D 3 / 2"/>
    <n v="7"/>
    <d v="2023-11-21T00:00:00"/>
    <d v="2023-11-24T00:00:00"/>
    <s v="Closed"/>
    <n v="7"/>
    <n v="0"/>
    <s v="Mr. Koko"/>
    <x v="61"/>
    <s v="SPECIAL PASS OK"/>
    <m/>
  </r>
  <r>
    <m/>
    <x v="17"/>
    <x v="0"/>
    <s v="sedang"/>
    <x v="2"/>
    <s v="2EIWAD-O"/>
    <x v="1"/>
    <n v="1.65"/>
    <s v="MEAA-OH"/>
    <s v="Turn Table Fluktuasi"/>
    <x v="2"/>
    <s v="Adjust WS Turn Table"/>
    <m/>
    <s v="V6B3X12"/>
    <s v="001"/>
    <s v="3"/>
    <n v="1"/>
    <d v="2023-11-13T00:00:00"/>
    <d v="2023-11-24T00:00:00"/>
    <s v="Closed"/>
    <n v="1"/>
    <n v="0"/>
    <s v="Mr. Koko"/>
    <x v="61"/>
    <s v="SPECIAL PASS OK"/>
    <m/>
  </r>
  <r>
    <m/>
    <x v="17"/>
    <x v="0"/>
    <s v="sedang"/>
    <x v="2"/>
    <s v="2EIWAD-O"/>
    <x v="1"/>
    <n v="1.65"/>
    <s v="MEAA-OH"/>
    <s v="Fluktuasi"/>
    <x v="2"/>
    <s v="Adjust Speed Down Table "/>
    <m/>
    <s v="V6B3X16"/>
    <s v="001 / 002"/>
    <s v="6 / 1"/>
    <n v="2"/>
    <d v="2023-11-17T00:00:00"/>
    <d v="2023-11-24T00:00:00"/>
    <s v="Closed"/>
    <n v="2"/>
    <n v="0"/>
    <s v="Mr. Koko"/>
    <x v="61"/>
    <s v="SPECIAL PASS OK"/>
    <m/>
  </r>
  <r>
    <m/>
    <x v="17"/>
    <x v="0"/>
    <s v="sedang"/>
    <x v="2"/>
    <s v="2EIWAD-O"/>
    <x v="1"/>
    <n v="1.65"/>
    <s v="MEAA-OH"/>
    <s v="Fluktuasi"/>
    <x v="2"/>
    <s v="Adjust Speed Down Table "/>
    <m/>
    <s v="V6B3X17"/>
    <s v="001"/>
    <s v="1"/>
    <n v="1"/>
    <d v="2023-11-18T00:00:00"/>
    <d v="2023-11-24T00:00:00"/>
    <s v="Closed"/>
    <n v="1"/>
    <n v="0"/>
    <s v="Mr. Koko"/>
    <x v="61"/>
    <s v="SPECIAL PASS OK"/>
    <m/>
  </r>
  <r>
    <m/>
    <x v="17"/>
    <x v="0"/>
    <s v="sedang"/>
    <x v="17"/>
    <s v="D2IDW-4-B-2"/>
    <x v="0"/>
    <n v="0.42"/>
    <s v="DMIA"/>
    <s v="Horiba Big"/>
    <x v="2"/>
    <m/>
    <m/>
    <s v="V4B3X21"/>
    <s v="001"/>
    <s v="1 S/D 10"/>
    <n v="10"/>
    <d v="2023-11-23T00:00:00"/>
    <d v="2023-11-24T00:00:00"/>
    <s v="Closed"/>
    <n v="10"/>
    <s v="M"/>
    <s v="Mr. Koko"/>
    <x v="61"/>
    <s v="SPECIAL PASS OK"/>
    <m/>
  </r>
  <r>
    <m/>
    <x v="17"/>
    <x v="0"/>
    <s v="sedang"/>
    <x v="15"/>
    <s v="2PEW"/>
    <x v="0"/>
    <n v="1"/>
    <s v="MELCO"/>
    <s v="SE Big"/>
    <x v="2"/>
    <s v="Mc Stop"/>
    <m/>
    <s v="V8B3X22"/>
    <s v="003"/>
    <s v="1.2.3"/>
    <n v="3"/>
    <d v="2023-11-23T00:00:00"/>
    <d v="2023-11-24T00:00:00"/>
    <s v="Closed"/>
    <n v="3"/>
    <n v="0"/>
    <s v="Mr. Koko"/>
    <x v="61"/>
    <s v="SPECIAL PASS OK"/>
    <m/>
  </r>
  <r>
    <m/>
    <x v="17"/>
    <x v="0"/>
    <s v="sedang"/>
    <x v="1"/>
    <s v="2PEW"/>
    <x v="1"/>
    <n v="0.8"/>
    <s v="MELCO"/>
    <s v="Laser Micro Alarm"/>
    <x v="2"/>
    <m/>
    <m/>
    <s v="11B3X03"/>
    <s v="002"/>
    <s v="1 S/D 5"/>
    <n v="5"/>
    <d v="2023-11-06T00:00:00"/>
    <d v="2023-11-24T00:00:00"/>
    <s v="Closed"/>
    <n v="5"/>
    <n v="0"/>
    <s v="Mr. Koko"/>
    <x v="61"/>
    <s v="SPECIAL PASS OK"/>
    <m/>
  </r>
  <r>
    <m/>
    <x v="17"/>
    <x v="0"/>
    <s v="sedang"/>
    <x v="0"/>
    <s v="D1-PEW-B-2Y"/>
    <x v="1"/>
    <n v="0.85"/>
    <s v="WIN-A (DMNC-S)"/>
    <s v="Laser Micro Alarm"/>
    <x v="2"/>
    <s v="Normal Sendiri"/>
    <m/>
    <s v="11A3X12"/>
    <s v="001"/>
    <s v="3.4.5"/>
    <n v="3"/>
    <d v="2023-11-12T00:00:00"/>
    <d v="2023-11-24T00:00:00"/>
    <s v="Closed"/>
    <n v="3"/>
    <n v="0"/>
    <s v="Mr. Koko"/>
    <x v="61"/>
    <s v="SPECIAL PASS OK"/>
    <m/>
  </r>
  <r>
    <m/>
    <x v="17"/>
    <x v="0"/>
    <s v="sedang"/>
    <x v="2"/>
    <s v="2EIWAD-O"/>
    <x v="1"/>
    <n v="1.65"/>
    <s v="MEAA-OH"/>
    <s v="Turn Table Fluktuasi"/>
    <x v="2"/>
    <s v="Adjust Speed Turn Table"/>
    <m/>
    <s v="V6B3X14"/>
    <s v="002"/>
    <s v="6"/>
    <n v="1"/>
    <d v="2023-11-15T00:00:00"/>
    <d v="2023-11-28T00:00:00"/>
    <s v="Closed"/>
    <n v="0"/>
    <n v="1"/>
    <s v="Mr. Koko"/>
    <x v="61"/>
    <s v="PRODUCT DISCRAPE"/>
    <m/>
  </r>
  <r>
    <m/>
    <x v="17"/>
    <x v="0"/>
    <s v="sedang"/>
    <x v="15"/>
    <s v="2AIW"/>
    <x v="1"/>
    <n v="0.6"/>
    <s v="MAPI"/>
    <s v="Wire Nyelip"/>
    <x v="2"/>
    <s v="Check Wire Line Dibenerin Sesuai Jalurmya"/>
    <m/>
    <s v="V8B3X12"/>
    <s v="002"/>
    <s v="2.3"/>
    <n v="2"/>
    <d v="2023-11-13T00:00:00"/>
    <d v="2023-11-24T00:00:00"/>
    <s v="Closed"/>
    <n v="2"/>
    <n v="0"/>
    <s v="Mr. Koko"/>
    <x v="61"/>
    <s v="SPECIAL PASS OK"/>
    <m/>
  </r>
  <r>
    <m/>
    <x v="17"/>
    <x v="0"/>
    <s v="sedang"/>
    <x v="2"/>
    <s v="2EIWAD-O"/>
    <x v="1"/>
    <n v="1.65"/>
    <s v="MEAA-OH"/>
    <s v="Turn Table Fluktuasi"/>
    <x v="2"/>
    <m/>
    <m/>
    <s v="V6B3X11"/>
    <s v="001 / 002"/>
    <s v="1 / 4"/>
    <n v="2"/>
    <d v="2023-11-12T00:00:00"/>
    <d v="2023-11-28T00:00:00"/>
    <s v="Closed"/>
    <n v="2"/>
    <n v="0"/>
    <s v="Mr. Koko"/>
    <x v="61"/>
    <s v="SPECIAL PASS OK"/>
    <m/>
  </r>
  <r>
    <m/>
    <x v="17"/>
    <x v="0"/>
    <s v="sedang"/>
    <x v="2"/>
    <s v="2EIWAD-O"/>
    <x v="0"/>
    <n v="1.65"/>
    <s v="MEAA-OH"/>
    <s v="Gulungan Jelek"/>
    <x v="2"/>
    <s v="Adjust Turn Table"/>
    <m/>
    <s v="V6B3X13"/>
    <s v="001"/>
    <s v="4"/>
    <n v="1"/>
    <d v="2023-11-14T00:00:00"/>
    <d v="2023-11-29T00:00:00"/>
    <s v="Closed"/>
    <n v="1"/>
    <n v="0"/>
    <s v="Mr. Koko"/>
    <x v="61"/>
    <s v="SPECIAL PASS OK"/>
    <m/>
  </r>
  <r>
    <m/>
    <x v="17"/>
    <x v="0"/>
    <s v="sedang"/>
    <x v="2"/>
    <s v="2EIWAD-O"/>
    <x v="1"/>
    <n v="1.65"/>
    <s v="MEAA-OH"/>
    <s v="Turn Table Mati"/>
    <x v="2"/>
    <s v="Perbaikan MTN"/>
    <m/>
    <s v="V6B3X13"/>
    <s v="001"/>
    <s v="6"/>
    <n v="1"/>
    <d v="2023-11-13T00:00:00"/>
    <d v="2023-11-28T00:00:00"/>
    <s v="Closed"/>
    <n v="1"/>
    <n v="0"/>
    <s v="Mr. Koko"/>
    <x v="61"/>
    <s v="SPECIAL PASS OK"/>
    <m/>
  </r>
  <r>
    <m/>
    <x v="17"/>
    <x v="0"/>
    <s v="sedang"/>
    <x v="0"/>
    <s v="D1-PEW-B-2Y"/>
    <x v="0"/>
    <n v="0.7"/>
    <s v="SEI-ASMO"/>
    <s v="OD Big &amp; Parafin"/>
    <x v="134"/>
    <s v="WS Inline Diturunkan 0.5%"/>
    <m/>
    <s v="11A3X30"/>
    <s v="002 / 003"/>
    <s v="1 S/D 5 / 1 S/D 5"/>
    <n v="10"/>
    <d v="2023-11-30T00:00:00"/>
    <d v="2023-12-01T00:00:00"/>
    <s v="Closed"/>
    <n v="9"/>
    <n v="1"/>
    <s v="Mr. Koko"/>
    <x v="61"/>
    <s v="SPECIAL PASS OK"/>
    <s v="11A3X30-002-03 NG"/>
  </r>
  <r>
    <m/>
    <x v="17"/>
    <x v="0"/>
    <s v="sedang"/>
    <x v="0"/>
    <s v="D1-PEW-B-2Y"/>
    <x v="0"/>
    <n v="0.7"/>
    <s v="SEI-ASMO"/>
    <s v="OD Big &amp; CD Scratch"/>
    <x v="2"/>
    <s v="WS Inline Diturunkan 0.5%"/>
    <m/>
    <s v="11A3X29"/>
    <s v="002 / 001 / 003"/>
    <s v="3.5 / 5 / 5"/>
    <n v="4"/>
    <d v="2023-11-30T00:00:00"/>
    <d v="2023-12-01T00:00:00"/>
    <s v="Closed"/>
    <n v="4"/>
    <n v="0"/>
    <s v="Mr. Koko"/>
    <x v="61"/>
    <s v="SPECIAL PASS OK"/>
    <m/>
  </r>
  <r>
    <m/>
    <x v="17"/>
    <x v="0"/>
    <s v="sedang"/>
    <x v="0"/>
    <s v="D1-PEW-B-2Y"/>
    <x v="1"/>
    <n v="0.7"/>
    <s v="SEI-ASMO"/>
    <s v="Laser Micro Alarm"/>
    <x v="2"/>
    <s v="Normal Sendiri"/>
    <m/>
    <s v="11A3X30"/>
    <s v="001"/>
    <s v="1"/>
    <n v="1"/>
    <d v="2023-11-30T00:00:00"/>
    <d v="2023-12-01T00:00:00"/>
    <s v="Closed"/>
    <n v="1"/>
    <n v="0"/>
    <s v="Mr. Koko"/>
    <x v="61"/>
    <s v="SPECIAL PASS OK"/>
    <m/>
  </r>
  <r>
    <m/>
    <x v="17"/>
    <x v="0"/>
    <s v="sedang"/>
    <x v="30"/>
    <s v="2PEW"/>
    <x v="0"/>
    <n v="0.87"/>
    <s v="MELCO"/>
    <s v="Scratch"/>
    <x v="2"/>
    <m/>
    <m/>
    <s v="V1B3X15"/>
    <s v="001"/>
    <s v="6"/>
    <n v="1"/>
    <d v="2023-11-16T00:00:00"/>
    <d v="2023-12-04T00:00:00"/>
    <s v="Closed"/>
    <n v="1"/>
    <n v="0"/>
    <s v="Mr. Koko"/>
    <x v="61"/>
    <s v="SPECIAL PASS OK"/>
    <m/>
  </r>
  <r>
    <m/>
    <x v="17"/>
    <x v="1"/>
    <s v="sedang"/>
    <x v="27"/>
    <s v="2AIW"/>
    <x v="0"/>
    <n v="0.21"/>
    <s v="MITSUBA"/>
    <s v="CD Small"/>
    <x v="19"/>
    <s v="Ganti Dies Inline"/>
    <m/>
    <s v="H4A3X10"/>
    <s v="001 / 002 / 003"/>
    <s v="1"/>
    <n v="3"/>
    <d v="2023-11-10T00:00:00"/>
    <d v="2023-11-21T00:00:00"/>
    <s v="Closed"/>
    <n v="3"/>
    <n v="0"/>
    <s v="Mr. Koko"/>
    <x v="61"/>
    <s v="SPECIAL PASS OK"/>
    <m/>
  </r>
  <r>
    <m/>
    <x v="17"/>
    <x v="1"/>
    <s v="sedang"/>
    <x v="27"/>
    <s v="2AIW"/>
    <x v="0"/>
    <n v="0.21"/>
    <s v="MITSUBA"/>
    <s v="CD Small"/>
    <x v="19"/>
    <s v="Ganti Dies Inline"/>
    <m/>
    <s v="H4A3X09"/>
    <s v="001 / 004 / 005"/>
    <s v="1"/>
    <n v="3"/>
    <d v="2023-11-10T00:00:00"/>
    <d v="2023-11-21T00:00:00"/>
    <s v="Closed"/>
    <n v="3"/>
    <n v="0"/>
    <s v="Mr. Koko"/>
    <x v="61"/>
    <s v="SPECIAL PASS OK"/>
    <m/>
  </r>
  <r>
    <m/>
    <x v="17"/>
    <x v="1"/>
    <s v="sedang"/>
    <x v="27"/>
    <s v="2AIW"/>
    <x v="0"/>
    <n v="0.21"/>
    <s v="MITSUBA"/>
    <s v="CD Small"/>
    <x v="2"/>
    <s v="- Set Tenison - Change F/D"/>
    <m/>
    <s v="H4A3X09"/>
    <s v="003 / 002"/>
    <s v="1"/>
    <n v="2"/>
    <d v="2023-11-09T00:00:00"/>
    <d v="2023-11-21T00:00:00"/>
    <s v="Closed"/>
    <n v="2"/>
    <n v="0"/>
    <s v="Mr. Koko"/>
    <x v="61"/>
    <s v="SPECIAL PASS OK"/>
    <m/>
  </r>
  <r>
    <m/>
    <x v="17"/>
    <x v="1"/>
    <s v="sedang"/>
    <x v="20"/>
    <s v="D2IDW4-B-2"/>
    <x v="0"/>
    <n v="0.26"/>
    <s v="SEI-ASMO"/>
    <s v="OD Big"/>
    <x v="135"/>
    <s v="Adjust T/U Tension"/>
    <m/>
    <s v="H1A3X14"/>
    <s v="001"/>
    <s v="4"/>
    <n v="1"/>
    <d v="2023-11-14T00:00:00"/>
    <d v="2023-11-21T00:00:00"/>
    <s v="Closed"/>
    <n v="1"/>
    <n v="0"/>
    <s v="Mr. Koko"/>
    <x v="61"/>
    <s v="SPECIAL PASS OK"/>
    <m/>
  </r>
  <r>
    <m/>
    <x v="17"/>
    <x v="1"/>
    <s v="sedang"/>
    <x v="20"/>
    <s v="D2IDW4-B-2"/>
    <x v="0"/>
    <n v="0.26"/>
    <s v="SEI-ASMO"/>
    <s v="OD Big"/>
    <x v="135"/>
    <s v="Adjust T/U Tension"/>
    <m/>
    <s v="H1A3X09"/>
    <s v="002"/>
    <s v="4"/>
    <n v="1"/>
    <d v="2023-11-10T00:00:00"/>
    <d v="2023-11-21T00:00:00"/>
    <s v="Closed"/>
    <n v="1"/>
    <n v="0"/>
    <s v="Mr. Koko"/>
    <x v="61"/>
    <s v="SPECIAL PASS OK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R5:BM25" firstHeaderRow="1" firstDataRow="2" firstDataCol="1" rowPageCount="3" colPageCount="1"/>
  <pivotFields count="26">
    <pivotField showAll="0"/>
    <pivotField axis="axisPage" numFmtId="165" showAll="0">
      <items count="19">
        <item x="0"/>
        <item x="3"/>
        <item x="5"/>
        <item x="6"/>
        <item x="7"/>
        <item x="8"/>
        <item x="9"/>
        <item x="1"/>
        <item x="2"/>
        <item x="4"/>
        <item x="10"/>
        <item x="11"/>
        <item x="12"/>
        <item x="13"/>
        <item x="14"/>
        <item x="15"/>
        <item x="16"/>
        <item x="17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axis="axisRow" showAll="0">
      <items count="33">
        <item x="0"/>
        <item x="1"/>
        <item x="11"/>
        <item x="4"/>
        <item x="24"/>
        <item x="20"/>
        <item x="18"/>
        <item x="14"/>
        <item x="22"/>
        <item x="12"/>
        <item x="13"/>
        <item x="27"/>
        <item x="26"/>
        <item x="21"/>
        <item x="29"/>
        <item x="28"/>
        <item x="19"/>
        <item x="31"/>
        <item x="25"/>
        <item x="30"/>
        <item x="7"/>
        <item x="17"/>
        <item x="16"/>
        <item x="2"/>
        <item x="3"/>
        <item x="15"/>
        <item x="5"/>
        <item x="6"/>
        <item x="8"/>
        <item x="10"/>
        <item x="23"/>
        <item x="9"/>
        <item t="default"/>
      </items>
    </pivotField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dataField="1" showAll="0"/>
    <pivotField showAll="0">
      <items count="137">
        <item x="128"/>
        <item x="48"/>
        <item x="130"/>
        <item x="10"/>
        <item x="132"/>
        <item x="115"/>
        <item x="70"/>
        <item x="23"/>
        <item x="134"/>
        <item x="66"/>
        <item x="120"/>
        <item x="3"/>
        <item x="41"/>
        <item x="121"/>
        <item x="30"/>
        <item x="88"/>
        <item x="53"/>
        <item x="22"/>
        <item x="101"/>
        <item x="118"/>
        <item x="61"/>
        <item x="114"/>
        <item x="122"/>
        <item x="8"/>
        <item x="126"/>
        <item x="100"/>
        <item x="82"/>
        <item x="78"/>
        <item x="54"/>
        <item x="67"/>
        <item x="57"/>
        <item x="58"/>
        <item x="69"/>
        <item x="103"/>
        <item x="64"/>
        <item x="110"/>
        <item x="63"/>
        <item x="73"/>
        <item x="20"/>
        <item x="133"/>
        <item x="19"/>
        <item x="21"/>
        <item x="42"/>
        <item x="14"/>
        <item x="84"/>
        <item x="32"/>
        <item x="26"/>
        <item x="65"/>
        <item x="33"/>
        <item x="13"/>
        <item x="131"/>
        <item x="85"/>
        <item x="43"/>
        <item x="25"/>
        <item x="47"/>
        <item x="46"/>
        <item x="129"/>
        <item x="96"/>
        <item x="71"/>
        <item x="1"/>
        <item x="50"/>
        <item x="113"/>
        <item x="49"/>
        <item x="56"/>
        <item x="89"/>
        <item x="124"/>
        <item x="38"/>
        <item x="18"/>
        <item x="55"/>
        <item x="95"/>
        <item x="51"/>
        <item x="52"/>
        <item x="81"/>
        <item x="93"/>
        <item x="97"/>
        <item x="75"/>
        <item x="77"/>
        <item x="99"/>
        <item x="29"/>
        <item x="5"/>
        <item x="45"/>
        <item x="27"/>
        <item x="98"/>
        <item x="37"/>
        <item x="109"/>
        <item x="104"/>
        <item x="35"/>
        <item x="9"/>
        <item x="28"/>
        <item x="62"/>
        <item x="105"/>
        <item x="106"/>
        <item x="111"/>
        <item x="7"/>
        <item x="11"/>
        <item x="17"/>
        <item x="125"/>
        <item x="40"/>
        <item x="68"/>
        <item x="76"/>
        <item x="102"/>
        <item x="72"/>
        <item x="4"/>
        <item x="108"/>
        <item x="107"/>
        <item x="94"/>
        <item x="60"/>
        <item x="59"/>
        <item x="135"/>
        <item x="92"/>
        <item x="112"/>
        <item x="87"/>
        <item x="86"/>
        <item x="127"/>
        <item x="74"/>
        <item x="90"/>
        <item x="79"/>
        <item x="39"/>
        <item x="116"/>
        <item x="24"/>
        <item x="12"/>
        <item x="80"/>
        <item x="83"/>
        <item x="16"/>
        <item x="117"/>
        <item x="36"/>
        <item x="44"/>
        <item x="31"/>
        <item x="0"/>
        <item x="123"/>
        <item x="15"/>
        <item x="6"/>
        <item x="91"/>
        <item x="119"/>
        <item x="3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3">
        <item x="16"/>
        <item x="12"/>
        <item x="19"/>
        <item x="34"/>
        <item x="45"/>
        <item x="11"/>
        <item x="56"/>
        <item x="31"/>
        <item x="22"/>
        <item x="36"/>
        <item x="6"/>
        <item x="35"/>
        <item x="28"/>
        <item x="38"/>
        <item x="14"/>
        <item x="3"/>
        <item x="47"/>
        <item x="42"/>
        <item x="41"/>
        <item x="27"/>
        <item x="46"/>
        <item x="51"/>
        <item x="2"/>
        <item x="60"/>
        <item x="9"/>
        <item x="20"/>
        <item x="43"/>
        <item x="57"/>
        <item x="54"/>
        <item x="55"/>
        <item x="17"/>
        <item x="59"/>
        <item x="29"/>
        <item x="23"/>
        <item x="50"/>
        <item x="26"/>
        <item x="25"/>
        <item x="37"/>
        <item x="44"/>
        <item x="0"/>
        <item x="13"/>
        <item x="1"/>
        <item x="52"/>
        <item x="58"/>
        <item x="5"/>
        <item x="4"/>
        <item x="40"/>
        <item x="39"/>
        <item x="53"/>
        <item x="18"/>
        <item x="32"/>
        <item x="8"/>
        <item x="7"/>
        <item x="48"/>
        <item x="24"/>
        <item x="49"/>
        <item x="30"/>
        <item x="21"/>
        <item x="15"/>
        <item x="33"/>
        <item x="10"/>
        <item x="61"/>
        <item t="default"/>
      </items>
    </pivotField>
    <pivotField showAll="0"/>
    <pivotField showAll="0"/>
  </pivotFields>
  <rowFields count="1">
    <field x="4"/>
  </rowFields>
  <rowItems count="19">
    <i>
      <x/>
    </i>
    <i>
      <x v="1"/>
    </i>
    <i>
      <x v="2"/>
    </i>
    <i>
      <x v="3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Fields count="1">
    <field x="23"/>
  </colFields>
  <colItems count="47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9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4"/>
    </i>
    <i>
      <x v="35"/>
    </i>
    <i>
      <x v="37"/>
    </i>
    <i>
      <x v="38"/>
    </i>
    <i>
      <x v="39"/>
    </i>
    <i>
      <x v="40"/>
    </i>
    <i>
      <x v="41"/>
    </i>
    <i>
      <x v="42"/>
    </i>
    <i>
      <x v="44"/>
    </i>
    <i>
      <x v="45"/>
    </i>
    <i>
      <x v="48"/>
    </i>
    <i>
      <x v="49"/>
    </i>
    <i>
      <x v="50"/>
    </i>
    <i>
      <x v="51"/>
    </i>
    <i>
      <x v="52"/>
    </i>
    <i>
      <x v="56"/>
    </i>
    <i>
      <x v="57"/>
    </i>
    <i>
      <x v="58"/>
    </i>
    <i>
      <x v="59"/>
    </i>
    <i>
      <x v="60"/>
    </i>
    <i>
      <x v="61"/>
    </i>
    <i t="grand">
      <x/>
    </i>
  </colItems>
  <pageFields count="3">
    <pageField fld="1" hier="-1"/>
    <pageField fld="2" item="1" hier="-1"/>
    <pageField fld="6" item="1" hier="-1"/>
  </pageFields>
  <dataFields count="1">
    <dataField name="Count of Masalah" fld="9" subtotal="count" baseField="0" baseItem="0"/>
  </dataFields>
  <chartFormats count="138">
    <chartFormat chart="1" format="189" series="1">
      <pivotArea type="data" outline="0" fieldPosition="0">
        <references count="1">
          <reference field="23" count="1" selected="0">
            <x v="1"/>
          </reference>
        </references>
      </pivotArea>
    </chartFormat>
    <chartFormat chart="1" format="190" series="1">
      <pivotArea type="data" outline="0" fieldPosition="0">
        <references count="1">
          <reference field="23" count="1" selected="0">
            <x v="2"/>
          </reference>
        </references>
      </pivotArea>
    </chartFormat>
    <chartFormat chart="1" format="191" series="1">
      <pivotArea type="data" outline="0" fieldPosition="0">
        <references count="1">
          <reference field="23" count="1" selected="0">
            <x v="3"/>
          </reference>
        </references>
      </pivotArea>
    </chartFormat>
    <chartFormat chart="1" format="192" series="1">
      <pivotArea type="data" outline="0" fieldPosition="0">
        <references count="1">
          <reference field="23" count="1" selected="0">
            <x v="5"/>
          </reference>
        </references>
      </pivotArea>
    </chartFormat>
    <chartFormat chart="1" format="193" series="1">
      <pivotArea type="data" outline="0" fieldPosition="0">
        <references count="1">
          <reference field="23" count="1" selected="0">
            <x v="6"/>
          </reference>
        </references>
      </pivotArea>
    </chartFormat>
    <chartFormat chart="1" format="194" series="1">
      <pivotArea type="data" outline="0" fieldPosition="0">
        <references count="1">
          <reference field="23" count="1" selected="0">
            <x v="7"/>
          </reference>
        </references>
      </pivotArea>
    </chartFormat>
    <chartFormat chart="1" format="195" series="1">
      <pivotArea type="data" outline="0" fieldPosition="0">
        <references count="1">
          <reference field="23" count="1" selected="0">
            <x v="8"/>
          </reference>
        </references>
      </pivotArea>
    </chartFormat>
    <chartFormat chart="1" format="196" series="1">
      <pivotArea type="data" outline="0" fieldPosition="0">
        <references count="1">
          <reference field="23" count="1" selected="0">
            <x v="9"/>
          </reference>
        </references>
      </pivotArea>
    </chartFormat>
    <chartFormat chart="1" format="197" series="1">
      <pivotArea type="data" outline="0" fieldPosition="0">
        <references count="1">
          <reference field="23" count="1" selected="0">
            <x v="10"/>
          </reference>
        </references>
      </pivotArea>
    </chartFormat>
    <chartFormat chart="1" format="198" series="1">
      <pivotArea type="data" outline="0" fieldPosition="0">
        <references count="1">
          <reference field="23" count="1" selected="0">
            <x v="11"/>
          </reference>
        </references>
      </pivotArea>
    </chartFormat>
    <chartFormat chart="1" format="199" series="1">
      <pivotArea type="data" outline="0" fieldPosition="0">
        <references count="1">
          <reference field="23" count="1" selected="0">
            <x v="12"/>
          </reference>
        </references>
      </pivotArea>
    </chartFormat>
    <chartFormat chart="1" format="200" series="1">
      <pivotArea type="data" outline="0" fieldPosition="0">
        <references count="1">
          <reference field="23" count="1" selected="0">
            <x v="13"/>
          </reference>
        </references>
      </pivotArea>
    </chartFormat>
    <chartFormat chart="1" format="201" series="1">
      <pivotArea type="data" outline="0" fieldPosition="0">
        <references count="1">
          <reference field="23" count="1" selected="0">
            <x v="14"/>
          </reference>
        </references>
      </pivotArea>
    </chartFormat>
    <chartFormat chart="1" format="202" series="1">
      <pivotArea type="data" outline="0" fieldPosition="0">
        <references count="1">
          <reference field="23" count="1" selected="0">
            <x v="15"/>
          </reference>
        </references>
      </pivotArea>
    </chartFormat>
    <chartFormat chart="1" format="203" series="1">
      <pivotArea type="data" outline="0" fieldPosition="0">
        <references count="1">
          <reference field="23" count="1" selected="0">
            <x v="19"/>
          </reference>
        </references>
      </pivotArea>
    </chartFormat>
    <chartFormat chart="1" format="204" series="1">
      <pivotArea type="data" outline="0" fieldPosition="0">
        <references count="1">
          <reference field="23" count="1" selected="0">
            <x v="22"/>
          </reference>
        </references>
      </pivotArea>
    </chartFormat>
    <chartFormat chart="1" format="205" series="1">
      <pivotArea type="data" outline="0" fieldPosition="0">
        <references count="1">
          <reference field="23" count="1" selected="0">
            <x v="23"/>
          </reference>
        </references>
      </pivotArea>
    </chartFormat>
    <chartFormat chart="1" format="206" series="1">
      <pivotArea type="data" outline="0" fieldPosition="0">
        <references count="1">
          <reference field="23" count="1" selected="0">
            <x v="24"/>
          </reference>
        </references>
      </pivotArea>
    </chartFormat>
    <chartFormat chart="1" format="207" series="1">
      <pivotArea type="data" outline="0" fieldPosition="0">
        <references count="1">
          <reference field="23" count="1" selected="0">
            <x v="25"/>
          </reference>
        </references>
      </pivotArea>
    </chartFormat>
    <chartFormat chart="1" format="208" series="1">
      <pivotArea type="data" outline="0" fieldPosition="0">
        <references count="1">
          <reference field="23" count="1" selected="0">
            <x v="26"/>
          </reference>
        </references>
      </pivotArea>
    </chartFormat>
    <chartFormat chart="1" format="209" series="1">
      <pivotArea type="data" outline="0" fieldPosition="0">
        <references count="1">
          <reference field="23" count="1" selected="0">
            <x v="27"/>
          </reference>
        </references>
      </pivotArea>
    </chartFormat>
    <chartFormat chart="1" format="210" series="1">
      <pivotArea type="data" outline="0" fieldPosition="0">
        <references count="1">
          <reference field="23" count="1" selected="0">
            <x v="28"/>
          </reference>
        </references>
      </pivotArea>
    </chartFormat>
    <chartFormat chart="1" format="211" series="1">
      <pivotArea type="data" outline="0" fieldPosition="0">
        <references count="1">
          <reference field="23" count="1" selected="0">
            <x v="29"/>
          </reference>
        </references>
      </pivotArea>
    </chartFormat>
    <chartFormat chart="1" format="212" series="1">
      <pivotArea type="data" outline="0" fieldPosition="0">
        <references count="1">
          <reference field="23" count="1" selected="0">
            <x v="30"/>
          </reference>
        </references>
      </pivotArea>
    </chartFormat>
    <chartFormat chart="1" format="213" series="1">
      <pivotArea type="data" outline="0" fieldPosition="0">
        <references count="1">
          <reference field="23" count="1" selected="0">
            <x v="34"/>
          </reference>
        </references>
      </pivotArea>
    </chartFormat>
    <chartFormat chart="1" format="214" series="1">
      <pivotArea type="data" outline="0" fieldPosition="0">
        <references count="1">
          <reference field="23" count="1" selected="0">
            <x v="35"/>
          </reference>
        </references>
      </pivotArea>
    </chartFormat>
    <chartFormat chart="1" format="215" series="1">
      <pivotArea type="data" outline="0" fieldPosition="0">
        <references count="1">
          <reference field="23" count="1" selected="0">
            <x v="37"/>
          </reference>
        </references>
      </pivotArea>
    </chartFormat>
    <chartFormat chart="1" format="216" series="1">
      <pivotArea type="data" outline="0" fieldPosition="0">
        <references count="1">
          <reference field="23" count="1" selected="0">
            <x v="38"/>
          </reference>
        </references>
      </pivotArea>
    </chartFormat>
    <chartFormat chart="1" format="217" series="1">
      <pivotArea type="data" outline="0" fieldPosition="0">
        <references count="1">
          <reference field="23" count="1" selected="0">
            <x v="39"/>
          </reference>
        </references>
      </pivotArea>
    </chartFormat>
    <chartFormat chart="1" format="218" series="1">
      <pivotArea type="data" outline="0" fieldPosition="0">
        <references count="1">
          <reference field="23" count="1" selected="0">
            <x v="40"/>
          </reference>
        </references>
      </pivotArea>
    </chartFormat>
    <chartFormat chart="1" format="219" series="1">
      <pivotArea type="data" outline="0" fieldPosition="0">
        <references count="1">
          <reference field="23" count="1" selected="0">
            <x v="41"/>
          </reference>
        </references>
      </pivotArea>
    </chartFormat>
    <chartFormat chart="1" format="220" series="1">
      <pivotArea type="data" outline="0" fieldPosition="0">
        <references count="1">
          <reference field="23" count="1" selected="0">
            <x v="42"/>
          </reference>
        </references>
      </pivotArea>
    </chartFormat>
    <chartFormat chart="1" format="221" series="1">
      <pivotArea type="data" outline="0" fieldPosition="0">
        <references count="1">
          <reference field="23" count="1" selected="0">
            <x v="44"/>
          </reference>
        </references>
      </pivotArea>
    </chartFormat>
    <chartFormat chart="1" format="222" series="1">
      <pivotArea type="data" outline="0" fieldPosition="0">
        <references count="1">
          <reference field="23" count="1" selected="0">
            <x v="45"/>
          </reference>
        </references>
      </pivotArea>
    </chartFormat>
    <chartFormat chart="1" format="223" series="1">
      <pivotArea type="data" outline="0" fieldPosition="0">
        <references count="1">
          <reference field="23" count="1" selected="0">
            <x v="48"/>
          </reference>
        </references>
      </pivotArea>
    </chartFormat>
    <chartFormat chart="1" format="224" series="1">
      <pivotArea type="data" outline="0" fieldPosition="0">
        <references count="1">
          <reference field="23" count="1" selected="0">
            <x v="49"/>
          </reference>
        </references>
      </pivotArea>
    </chartFormat>
    <chartFormat chart="1" format="225" series="1">
      <pivotArea type="data" outline="0" fieldPosition="0">
        <references count="1">
          <reference field="23" count="1" selected="0">
            <x v="50"/>
          </reference>
        </references>
      </pivotArea>
    </chartFormat>
    <chartFormat chart="1" format="226" series="1">
      <pivotArea type="data" outline="0" fieldPosition="0">
        <references count="1">
          <reference field="23" count="1" selected="0">
            <x v="51"/>
          </reference>
        </references>
      </pivotArea>
    </chartFormat>
    <chartFormat chart="1" format="227" series="1">
      <pivotArea type="data" outline="0" fieldPosition="0">
        <references count="1">
          <reference field="23" count="1" selected="0">
            <x v="52"/>
          </reference>
        </references>
      </pivotArea>
    </chartFormat>
    <chartFormat chart="1" format="228" series="1">
      <pivotArea type="data" outline="0" fieldPosition="0">
        <references count="1">
          <reference field="23" count="1" selected="0">
            <x v="56"/>
          </reference>
        </references>
      </pivotArea>
    </chartFormat>
    <chartFormat chart="1" format="229" series="1">
      <pivotArea type="data" outline="0" fieldPosition="0">
        <references count="1">
          <reference field="23" count="1" selected="0">
            <x v="57"/>
          </reference>
        </references>
      </pivotArea>
    </chartFormat>
    <chartFormat chart="1" format="230" series="1">
      <pivotArea type="data" outline="0" fieldPosition="0">
        <references count="1">
          <reference field="23" count="1" selected="0">
            <x v="58"/>
          </reference>
        </references>
      </pivotArea>
    </chartFormat>
    <chartFormat chart="1" format="231" series="1">
      <pivotArea type="data" outline="0" fieldPosition="0">
        <references count="1">
          <reference field="23" count="1" selected="0">
            <x v="59"/>
          </reference>
        </references>
      </pivotArea>
    </chartFormat>
    <chartFormat chart="1" format="232" series="1">
      <pivotArea type="data" outline="0" fieldPosition="0">
        <references count="1">
          <reference field="23" count="1" selected="0">
            <x v="60"/>
          </reference>
        </references>
      </pivotArea>
    </chartFormat>
    <chartFormat chart="1" format="233" series="1">
      <pivotArea type="data" outline="0" fieldPosition="0">
        <references count="1">
          <reference field="23" count="1" selected="0">
            <x v="61"/>
          </reference>
        </references>
      </pivotArea>
    </chartFormat>
    <chartFormat chart="1" format="234" series="1">
      <pivotArea type="data" outline="0" fieldPosition="0">
        <references count="1">
          <reference field="23" count="1" selected="0">
            <x v="0"/>
          </reference>
        </references>
      </pivotArea>
    </chartFormat>
    <chartFormat chart="0" format="189" series="1">
      <pivotArea type="data" outline="0" fieldPosition="0">
        <references count="1">
          <reference field="23" count="1" selected="0">
            <x v="1"/>
          </reference>
        </references>
      </pivotArea>
    </chartFormat>
    <chartFormat chart="0" format="190" series="1">
      <pivotArea type="data" outline="0" fieldPosition="0">
        <references count="1">
          <reference field="23" count="1" selected="0">
            <x v="2"/>
          </reference>
        </references>
      </pivotArea>
    </chartFormat>
    <chartFormat chart="0" format="191" series="1">
      <pivotArea type="data" outline="0" fieldPosition="0">
        <references count="1">
          <reference field="23" count="1" selected="0">
            <x v="3"/>
          </reference>
        </references>
      </pivotArea>
    </chartFormat>
    <chartFormat chart="0" format="192" series="1">
      <pivotArea type="data" outline="0" fieldPosition="0">
        <references count="1">
          <reference field="23" count="1" selected="0">
            <x v="5"/>
          </reference>
        </references>
      </pivotArea>
    </chartFormat>
    <chartFormat chart="0" format="193" series="1">
      <pivotArea type="data" outline="0" fieldPosition="0">
        <references count="1">
          <reference field="23" count="1" selected="0">
            <x v="6"/>
          </reference>
        </references>
      </pivotArea>
    </chartFormat>
    <chartFormat chart="0" format="194" series="1">
      <pivotArea type="data" outline="0" fieldPosition="0">
        <references count="1">
          <reference field="23" count="1" selected="0">
            <x v="7"/>
          </reference>
        </references>
      </pivotArea>
    </chartFormat>
    <chartFormat chart="0" format="195" series="1">
      <pivotArea type="data" outline="0" fieldPosition="0">
        <references count="1">
          <reference field="23" count="1" selected="0">
            <x v="8"/>
          </reference>
        </references>
      </pivotArea>
    </chartFormat>
    <chartFormat chart="0" format="196" series="1">
      <pivotArea type="data" outline="0" fieldPosition="0">
        <references count="1">
          <reference field="23" count="1" selected="0">
            <x v="9"/>
          </reference>
        </references>
      </pivotArea>
    </chartFormat>
    <chartFormat chart="0" format="197" series="1">
      <pivotArea type="data" outline="0" fieldPosition="0">
        <references count="1">
          <reference field="23" count="1" selected="0">
            <x v="10"/>
          </reference>
        </references>
      </pivotArea>
    </chartFormat>
    <chartFormat chart="0" format="198" series="1">
      <pivotArea type="data" outline="0" fieldPosition="0">
        <references count="1">
          <reference field="23" count="1" selected="0">
            <x v="11"/>
          </reference>
        </references>
      </pivotArea>
    </chartFormat>
    <chartFormat chart="0" format="199" series="1">
      <pivotArea type="data" outline="0" fieldPosition="0">
        <references count="1">
          <reference field="23" count="1" selected="0">
            <x v="12"/>
          </reference>
        </references>
      </pivotArea>
    </chartFormat>
    <chartFormat chart="0" format="200" series="1">
      <pivotArea type="data" outline="0" fieldPosition="0">
        <references count="1">
          <reference field="23" count="1" selected="0">
            <x v="13"/>
          </reference>
        </references>
      </pivotArea>
    </chartFormat>
    <chartFormat chart="0" format="201" series="1">
      <pivotArea type="data" outline="0" fieldPosition="0">
        <references count="1">
          <reference field="23" count="1" selected="0">
            <x v="14"/>
          </reference>
        </references>
      </pivotArea>
    </chartFormat>
    <chartFormat chart="0" format="202" series="1">
      <pivotArea type="data" outline="0" fieldPosition="0">
        <references count="1">
          <reference field="23" count="1" selected="0">
            <x v="15"/>
          </reference>
        </references>
      </pivotArea>
    </chartFormat>
    <chartFormat chart="0" format="203" series="1">
      <pivotArea type="data" outline="0" fieldPosition="0">
        <references count="1">
          <reference field="23" count="1" selected="0">
            <x v="19"/>
          </reference>
        </references>
      </pivotArea>
    </chartFormat>
    <chartFormat chart="0" format="204" series="1">
      <pivotArea type="data" outline="0" fieldPosition="0">
        <references count="1">
          <reference field="23" count="1" selected="0">
            <x v="22"/>
          </reference>
        </references>
      </pivotArea>
    </chartFormat>
    <chartFormat chart="0" format="205" series="1">
      <pivotArea type="data" outline="0" fieldPosition="0">
        <references count="1">
          <reference field="23" count="1" selected="0">
            <x v="23"/>
          </reference>
        </references>
      </pivotArea>
    </chartFormat>
    <chartFormat chart="0" format="206" series="1">
      <pivotArea type="data" outline="0" fieldPosition="0">
        <references count="1">
          <reference field="23" count="1" selected="0">
            <x v="24"/>
          </reference>
        </references>
      </pivotArea>
    </chartFormat>
    <chartFormat chart="0" format="207" series="1">
      <pivotArea type="data" outline="0" fieldPosition="0">
        <references count="1">
          <reference field="23" count="1" selected="0">
            <x v="25"/>
          </reference>
        </references>
      </pivotArea>
    </chartFormat>
    <chartFormat chart="0" format="208" series="1">
      <pivotArea type="data" outline="0" fieldPosition="0">
        <references count="1">
          <reference field="23" count="1" selected="0">
            <x v="26"/>
          </reference>
        </references>
      </pivotArea>
    </chartFormat>
    <chartFormat chart="0" format="209" series="1">
      <pivotArea type="data" outline="0" fieldPosition="0">
        <references count="1">
          <reference field="23" count="1" selected="0">
            <x v="27"/>
          </reference>
        </references>
      </pivotArea>
    </chartFormat>
    <chartFormat chart="0" format="210" series="1">
      <pivotArea type="data" outline="0" fieldPosition="0">
        <references count="1">
          <reference field="23" count="1" selected="0">
            <x v="28"/>
          </reference>
        </references>
      </pivotArea>
    </chartFormat>
    <chartFormat chart="0" format="211" series="1">
      <pivotArea type="data" outline="0" fieldPosition="0">
        <references count="1">
          <reference field="23" count="1" selected="0">
            <x v="29"/>
          </reference>
        </references>
      </pivotArea>
    </chartFormat>
    <chartFormat chart="0" format="212" series="1">
      <pivotArea type="data" outline="0" fieldPosition="0">
        <references count="1">
          <reference field="23" count="1" selected="0">
            <x v="30"/>
          </reference>
        </references>
      </pivotArea>
    </chartFormat>
    <chartFormat chart="0" format="213" series="1">
      <pivotArea type="data" outline="0" fieldPosition="0">
        <references count="1">
          <reference field="23" count="1" selected="0">
            <x v="34"/>
          </reference>
        </references>
      </pivotArea>
    </chartFormat>
    <chartFormat chart="0" format="214" series="1">
      <pivotArea type="data" outline="0" fieldPosition="0">
        <references count="1">
          <reference field="23" count="1" selected="0">
            <x v="35"/>
          </reference>
        </references>
      </pivotArea>
    </chartFormat>
    <chartFormat chart="0" format="215" series="1">
      <pivotArea type="data" outline="0" fieldPosition="0">
        <references count="1">
          <reference field="23" count="1" selected="0">
            <x v="37"/>
          </reference>
        </references>
      </pivotArea>
    </chartFormat>
    <chartFormat chart="0" format="216" series="1">
      <pivotArea type="data" outline="0" fieldPosition="0">
        <references count="1">
          <reference field="23" count="1" selected="0">
            <x v="38"/>
          </reference>
        </references>
      </pivotArea>
    </chartFormat>
    <chartFormat chart="0" format="217" series="1">
      <pivotArea type="data" outline="0" fieldPosition="0">
        <references count="1">
          <reference field="23" count="1" selected="0">
            <x v="39"/>
          </reference>
        </references>
      </pivotArea>
    </chartFormat>
    <chartFormat chart="0" format="218" series="1">
      <pivotArea type="data" outline="0" fieldPosition="0">
        <references count="1">
          <reference field="23" count="1" selected="0">
            <x v="40"/>
          </reference>
        </references>
      </pivotArea>
    </chartFormat>
    <chartFormat chart="0" format="219" series="1">
      <pivotArea type="data" outline="0" fieldPosition="0">
        <references count="1">
          <reference field="23" count="1" selected="0">
            <x v="41"/>
          </reference>
        </references>
      </pivotArea>
    </chartFormat>
    <chartFormat chart="0" format="220" series="1">
      <pivotArea type="data" outline="0" fieldPosition="0">
        <references count="1">
          <reference field="23" count="1" selected="0">
            <x v="42"/>
          </reference>
        </references>
      </pivotArea>
    </chartFormat>
    <chartFormat chart="0" format="221" series="1">
      <pivotArea type="data" outline="0" fieldPosition="0">
        <references count="1">
          <reference field="23" count="1" selected="0">
            <x v="44"/>
          </reference>
        </references>
      </pivotArea>
    </chartFormat>
    <chartFormat chart="0" format="222" series="1">
      <pivotArea type="data" outline="0" fieldPosition="0">
        <references count="1">
          <reference field="23" count="1" selected="0">
            <x v="45"/>
          </reference>
        </references>
      </pivotArea>
    </chartFormat>
    <chartFormat chart="0" format="223" series="1">
      <pivotArea type="data" outline="0" fieldPosition="0">
        <references count="1">
          <reference field="23" count="1" selected="0">
            <x v="48"/>
          </reference>
        </references>
      </pivotArea>
    </chartFormat>
    <chartFormat chart="0" format="224" series="1">
      <pivotArea type="data" outline="0" fieldPosition="0">
        <references count="1">
          <reference field="23" count="1" selected="0">
            <x v="49"/>
          </reference>
        </references>
      </pivotArea>
    </chartFormat>
    <chartFormat chart="0" format="225" series="1">
      <pivotArea type="data" outline="0" fieldPosition="0">
        <references count="1">
          <reference field="23" count="1" selected="0">
            <x v="50"/>
          </reference>
        </references>
      </pivotArea>
    </chartFormat>
    <chartFormat chart="0" format="226" series="1">
      <pivotArea type="data" outline="0" fieldPosition="0">
        <references count="1">
          <reference field="23" count="1" selected="0">
            <x v="51"/>
          </reference>
        </references>
      </pivotArea>
    </chartFormat>
    <chartFormat chart="0" format="227" series="1">
      <pivotArea type="data" outline="0" fieldPosition="0">
        <references count="1">
          <reference field="23" count="1" selected="0">
            <x v="52"/>
          </reference>
        </references>
      </pivotArea>
    </chartFormat>
    <chartFormat chart="0" format="228" series="1">
      <pivotArea type="data" outline="0" fieldPosition="0">
        <references count="1">
          <reference field="23" count="1" selected="0">
            <x v="56"/>
          </reference>
        </references>
      </pivotArea>
    </chartFormat>
    <chartFormat chart="0" format="229" series="1">
      <pivotArea type="data" outline="0" fieldPosition="0">
        <references count="1">
          <reference field="23" count="1" selected="0">
            <x v="57"/>
          </reference>
        </references>
      </pivotArea>
    </chartFormat>
    <chartFormat chart="0" format="230" series="1">
      <pivotArea type="data" outline="0" fieldPosition="0">
        <references count="1">
          <reference field="23" count="1" selected="0">
            <x v="58"/>
          </reference>
        </references>
      </pivotArea>
    </chartFormat>
    <chartFormat chart="0" format="231" series="1">
      <pivotArea type="data" outline="0" fieldPosition="0">
        <references count="1">
          <reference field="23" count="1" selected="0">
            <x v="59"/>
          </reference>
        </references>
      </pivotArea>
    </chartFormat>
    <chartFormat chart="0" format="232" series="1">
      <pivotArea type="data" outline="0" fieldPosition="0">
        <references count="1">
          <reference field="23" count="1" selected="0">
            <x v="60"/>
          </reference>
        </references>
      </pivotArea>
    </chartFormat>
    <chartFormat chart="0" format="233" series="1">
      <pivotArea type="data" outline="0" fieldPosition="0">
        <references count="1">
          <reference field="23" count="1" selected="0">
            <x v="61"/>
          </reference>
        </references>
      </pivotArea>
    </chartFormat>
    <chartFormat chart="0" format="234" series="1">
      <pivotArea type="data" outline="0" fieldPosition="0">
        <references count="1">
          <reference field="23" count="1" selected="0">
            <x v="0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8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9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0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1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2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3"/>
          </reference>
        </references>
      </pivotArea>
    </chartFormat>
    <chartFormat chart="1" format="24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4"/>
          </reference>
        </references>
      </pivotArea>
    </chartFormat>
    <chartFormat chart="1" format="25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5"/>
          </reference>
        </references>
      </pivotArea>
    </chartFormat>
    <chartFormat chart="1" format="25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9"/>
          </reference>
        </references>
      </pivotArea>
    </chartFormat>
    <chartFormat chart="1" format="25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2"/>
          </reference>
        </references>
      </pivotArea>
    </chartFormat>
    <chartFormat chart="1" format="25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3"/>
          </reference>
        </references>
      </pivotArea>
    </chartFormat>
    <chartFormat chart="1" format="25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4"/>
          </reference>
        </references>
      </pivotArea>
    </chartFormat>
    <chartFormat chart="1" format="25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5"/>
          </reference>
        </references>
      </pivotArea>
    </chartFormat>
    <chartFormat chart="1" format="25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6"/>
          </reference>
        </references>
      </pivotArea>
    </chartFormat>
    <chartFormat chart="1" format="25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7"/>
          </reference>
        </references>
      </pivotArea>
    </chartFormat>
    <chartFormat chart="1" format="25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8"/>
          </reference>
        </references>
      </pivotArea>
    </chartFormat>
    <chartFormat chart="1" format="25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9"/>
          </reference>
        </references>
      </pivotArea>
    </chartFormat>
    <chartFormat chart="1" format="26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0"/>
          </reference>
        </references>
      </pivotArea>
    </chartFormat>
    <chartFormat chart="1" format="26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4"/>
          </reference>
        </references>
      </pivotArea>
    </chartFormat>
    <chartFormat chart="1" format="26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5"/>
          </reference>
        </references>
      </pivotArea>
    </chartFormat>
    <chartFormat chart="1" format="26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7"/>
          </reference>
        </references>
      </pivotArea>
    </chartFormat>
    <chartFormat chart="1" format="26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8"/>
          </reference>
        </references>
      </pivotArea>
    </chartFormat>
    <chartFormat chart="1" format="26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9"/>
          </reference>
        </references>
      </pivotArea>
    </chartFormat>
    <chartFormat chart="1" format="26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0"/>
          </reference>
        </references>
      </pivotArea>
    </chartFormat>
    <chartFormat chart="1" format="26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1"/>
          </reference>
        </references>
      </pivotArea>
    </chartFormat>
    <chartFormat chart="1" format="26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2"/>
          </reference>
        </references>
      </pivotArea>
    </chartFormat>
    <chartFormat chart="1" format="26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4"/>
          </reference>
        </references>
      </pivotArea>
    </chartFormat>
    <chartFormat chart="1" format="27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5"/>
          </reference>
        </references>
      </pivotArea>
    </chartFormat>
    <chartFormat chart="1" format="27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8"/>
          </reference>
        </references>
      </pivotArea>
    </chartFormat>
    <chartFormat chart="1" format="27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9"/>
          </reference>
        </references>
      </pivotArea>
    </chartFormat>
    <chartFormat chart="1" format="27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0"/>
          </reference>
        </references>
      </pivotArea>
    </chartFormat>
    <chartFormat chart="1" format="27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1"/>
          </reference>
        </references>
      </pivotArea>
    </chartFormat>
    <chartFormat chart="1" format="27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2"/>
          </reference>
        </references>
      </pivotArea>
    </chartFormat>
    <chartFormat chart="1" format="27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6"/>
          </reference>
        </references>
      </pivotArea>
    </chartFormat>
    <chartFormat chart="1" format="27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7"/>
          </reference>
        </references>
      </pivotArea>
    </chartFormat>
    <chartFormat chart="1" format="27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8"/>
          </reference>
        </references>
      </pivotArea>
    </chartFormat>
    <chartFormat chart="1" format="27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9"/>
          </reference>
        </references>
      </pivotArea>
    </chartFormat>
    <chartFormat chart="1" format="28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4:B23" firstHeaderRow="1" firstDataRow="1" firstDataCol="1" rowPageCount="2" colPageCount="1"/>
  <pivotFields count="26">
    <pivotField showAll="0"/>
    <pivotField axis="axisRow" numFmtId="165" showAll="0">
      <items count="19">
        <item x="0"/>
        <item x="3"/>
        <item x="5"/>
        <item x="6"/>
        <item x="7"/>
        <item x="8"/>
        <item x="9"/>
        <item x="1"/>
        <item x="2"/>
        <item x="4"/>
        <item x="10"/>
        <item x="11"/>
        <item x="12"/>
        <item x="13"/>
        <item x="14"/>
        <item x="15"/>
        <item x="16"/>
        <item x="17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axis="axisPage" showAll="0">
      <items count="33">
        <item x="0"/>
        <item x="1"/>
        <item x="11"/>
        <item x="4"/>
        <item x="24"/>
        <item x="20"/>
        <item x="18"/>
        <item x="14"/>
        <item x="22"/>
        <item x="12"/>
        <item x="13"/>
        <item x="27"/>
        <item x="26"/>
        <item x="21"/>
        <item x="29"/>
        <item x="28"/>
        <item x="19"/>
        <item x="31"/>
        <item x="25"/>
        <item x="30"/>
        <item x="7"/>
        <item x="17"/>
        <item x="16"/>
        <item x="2"/>
        <item x="3"/>
        <item x="15"/>
        <item x="5"/>
        <item x="6"/>
        <item x="8"/>
        <item x="10"/>
        <item x="23"/>
        <item x="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</pivotFields>
  <rowFields count="1">
    <field x="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pageFields count="2">
    <pageField fld="4" hier="-1"/>
    <pageField fld="2" item="1" hier="-1"/>
  </pageFields>
  <dataFields count="1">
    <dataField name="Count of Masalah" fld="9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4711" name="QCDRPTR" displayName="QCDRPTR" ref="A4:Z178" insertRowShift="1" headerRowDxfId="57" dataDxfId="56" totalsRowDxfId="55">
  <autoFilter ref="A4:Z178"/>
  <tableColumns count="26">
    <tableColumn id="1" name="No." totalsRowLabel="Total" dataDxfId="54"/>
    <tableColumn id="54" name="Month" dataDxfId="53"/>
    <tableColumn id="53" name="Section" dataDxfId="52"/>
    <tableColumn id="4" name="class" dataDxfId="51" totalsRowDxfId="50"/>
    <tableColumn id="55" name="MC" dataDxfId="49" totalsRowDxfId="48">
      <calculatedColumnFormula>IF(B5="","",LEFT(N5,3))</calculatedColumnFormula>
    </tableColumn>
    <tableColumn id="6" name="Type" dataDxfId="47" totalsRowDxfId="46"/>
    <tableColumn id="30" name="Issued By" dataDxfId="45" totalsRowDxfId="44"/>
    <tableColumn id="7" name="Size" dataDxfId="43" totalsRowDxfId="42"/>
    <tableColumn id="9" name="Customer" dataDxfId="41" totalsRowDxfId="40"/>
    <tableColumn id="10" name="Masalah" dataDxfId="39" totalsRowDxfId="38"/>
    <tableColumn id="26" name="Penyebab Masalah" dataDxfId="37" totalsRowDxfId="36"/>
    <tableColumn id="29" name="Tindakan perbaikan" dataDxfId="35" totalsRowDxfId="34"/>
    <tableColumn id="11" name="Occurence" dataDxfId="33" totalsRowDxfId="32"/>
    <tableColumn id="25" name="Lot No." dataDxfId="31" totalsRowDxfId="30"/>
    <tableColumn id="27" name="T/u" dataDxfId="29"/>
    <tableColumn id="24" name="C/n" dataDxfId="28" totalsRowDxfId="27"/>
    <tableColumn id="12" name="Qty Reel" dataDxfId="26" totalsRowDxfId="25"/>
    <tableColumn id="13" name="Issued_x000a_date" dataDxfId="24" totalsRowDxfId="23"/>
    <tableColumn id="14" name="Finished_x000a_date" dataDxfId="22" totalsRowDxfId="21"/>
    <tableColumn id="15" name="PTR Status" dataDxfId="20" totalsRowDxfId="19"/>
    <tableColumn id="16" name="OK _x000a_Reel" dataDxfId="18"/>
    <tableColumn id="18" name="NG _x000a_Reel" dataDxfId="17"/>
    <tableColumn id="28" name="Passed_x000a_by" dataDxfId="16" totalsRowDxfId="15"/>
    <tableColumn id="3" name="TYpeSizeee" dataDxfId="14" totalsRowDxfId="13">
      <calculatedColumnFormula>F5&amp;H5</calculatedColumnFormula>
    </tableColumn>
    <tableColumn id="19" name="Remarks" dataDxfId="12" totalsRowDxfId="11"/>
    <tableColumn id="52" name="Column1" dataDxfId="10" totalsRowDxfId="9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M25"/>
  <sheetViews>
    <sheetView workbookViewId="0">
      <selection activeCell="B23" sqref="B23"/>
    </sheetView>
  </sheetViews>
  <sheetFormatPr defaultRowHeight="12.75"/>
  <cols>
    <col min="1" max="1" width="13.85546875" bestFit="1" customWidth="1"/>
    <col min="2" max="2" width="16.85546875" bestFit="1" customWidth="1"/>
    <col min="13" max="17" width="4.5703125" customWidth="1"/>
    <col min="18" max="18" width="16.85546875" customWidth="1"/>
    <col min="19" max="19" width="17" bestFit="1" customWidth="1"/>
    <col min="20" max="20" width="13.85546875" bestFit="1" customWidth="1"/>
    <col min="21" max="22" width="12.7109375" bestFit="1" customWidth="1"/>
    <col min="23" max="24" width="8.28515625" bestFit="1" customWidth="1"/>
    <col min="25" max="26" width="10.5703125" bestFit="1" customWidth="1"/>
    <col min="27" max="27" width="13.28515625" bestFit="1" customWidth="1"/>
    <col min="28" max="28" width="12.5703125" bestFit="1" customWidth="1"/>
    <col min="29" max="29" width="9.85546875" bestFit="1" customWidth="1"/>
    <col min="30" max="30" width="12.7109375" bestFit="1" customWidth="1"/>
    <col min="31" max="31" width="8.85546875" bestFit="1" customWidth="1"/>
    <col min="32" max="32" width="7.28515625" bestFit="1" customWidth="1"/>
    <col min="33" max="33" width="8.85546875" bestFit="1" customWidth="1"/>
    <col min="34" max="34" width="8.28515625" bestFit="1" customWidth="1"/>
    <col min="35" max="35" width="10.7109375" bestFit="1" customWidth="1"/>
    <col min="36" max="36" width="16.140625" bestFit="1" customWidth="1"/>
    <col min="37" max="38" width="13.85546875" bestFit="1" customWidth="1"/>
    <col min="39" max="39" width="15.140625" bestFit="1" customWidth="1"/>
    <col min="40" max="40" width="15.140625" customWidth="1"/>
    <col min="41" max="41" width="15.140625" bestFit="1" customWidth="1"/>
    <col min="42" max="43" width="13.7109375" bestFit="1" customWidth="1"/>
    <col min="44" max="44" width="8.85546875" bestFit="1" customWidth="1"/>
    <col min="45" max="48" width="9.85546875" bestFit="1" customWidth="1"/>
    <col min="49" max="49" width="8.85546875" bestFit="1" customWidth="1"/>
    <col min="50" max="51" width="9.85546875" bestFit="1" customWidth="1"/>
    <col min="52" max="52" width="8.85546875" bestFit="1" customWidth="1"/>
    <col min="53" max="53" width="12.7109375" bestFit="1" customWidth="1"/>
    <col min="54" max="55" width="15.42578125" bestFit="1" customWidth="1"/>
    <col min="56" max="56" width="11.28515625" bestFit="1" customWidth="1"/>
    <col min="57" max="57" width="15.5703125" bestFit="1" customWidth="1"/>
    <col min="58" max="58" width="14.5703125" bestFit="1" customWidth="1"/>
    <col min="59" max="60" width="15.7109375" bestFit="1" customWidth="1"/>
    <col min="61" max="61" width="14.7109375" bestFit="1" customWidth="1"/>
    <col min="62" max="62" width="14" bestFit="1" customWidth="1"/>
    <col min="63" max="63" width="14.28515625" bestFit="1" customWidth="1"/>
    <col min="64" max="64" width="7.140625" bestFit="1" customWidth="1"/>
    <col min="65" max="65" width="11.7109375" bestFit="1" customWidth="1"/>
    <col min="66" max="66" width="17.140625" bestFit="1" customWidth="1"/>
    <col min="67" max="67" width="20.42578125" bestFit="1" customWidth="1"/>
    <col min="68" max="68" width="21.140625" bestFit="1" customWidth="1"/>
    <col min="69" max="69" width="7.140625" bestFit="1" customWidth="1"/>
    <col min="70" max="70" width="20.42578125" bestFit="1" customWidth="1"/>
    <col min="71" max="71" width="15.7109375" bestFit="1" customWidth="1"/>
    <col min="72" max="72" width="19" bestFit="1" customWidth="1"/>
    <col min="73" max="73" width="15.7109375" bestFit="1" customWidth="1"/>
    <col min="74" max="74" width="19" bestFit="1" customWidth="1"/>
    <col min="75" max="75" width="10.85546875" bestFit="1" customWidth="1"/>
    <col min="76" max="76" width="14.140625" bestFit="1" customWidth="1"/>
    <col min="77" max="77" width="11.85546875" bestFit="1" customWidth="1"/>
    <col min="78" max="78" width="15.140625" bestFit="1" customWidth="1"/>
    <col min="79" max="79" width="11.85546875" bestFit="1" customWidth="1"/>
    <col min="80" max="80" width="15.140625" bestFit="1" customWidth="1"/>
    <col min="81" max="81" width="11.85546875" bestFit="1" customWidth="1"/>
    <col min="82" max="82" width="15.140625" bestFit="1" customWidth="1"/>
    <col min="83" max="83" width="17.85546875" bestFit="1" customWidth="1"/>
    <col min="84" max="84" width="59.5703125" bestFit="1" customWidth="1"/>
    <col min="85" max="85" width="7.140625" bestFit="1" customWidth="1"/>
    <col min="86" max="86" width="15.140625" bestFit="1" customWidth="1"/>
    <col min="87" max="87" width="20.7109375" bestFit="1" customWidth="1"/>
    <col min="88" max="88" width="9" bestFit="1" customWidth="1"/>
    <col min="89" max="89" width="7.140625" bestFit="1" customWidth="1"/>
    <col min="90" max="90" width="14.140625" bestFit="1" customWidth="1"/>
    <col min="91" max="91" width="11.85546875" bestFit="1" customWidth="1"/>
    <col min="92" max="92" width="10.28515625" bestFit="1" customWidth="1"/>
    <col min="93" max="93" width="16.42578125" bestFit="1" customWidth="1"/>
    <col min="94" max="94" width="15.140625" bestFit="1" customWidth="1"/>
    <col min="95" max="95" width="11.85546875" bestFit="1" customWidth="1"/>
    <col min="96" max="96" width="15.140625" bestFit="1" customWidth="1"/>
    <col min="97" max="97" width="18.85546875" bestFit="1" customWidth="1"/>
    <col min="98" max="98" width="7.140625" bestFit="1" customWidth="1"/>
    <col min="99" max="99" width="14.140625" bestFit="1" customWidth="1"/>
    <col min="100" max="100" width="14.7109375" bestFit="1" customWidth="1"/>
    <col min="101" max="101" width="7.140625" bestFit="1" customWidth="1"/>
    <col min="102" max="102" width="18.140625" bestFit="1" customWidth="1"/>
    <col min="103" max="103" width="17.42578125" bestFit="1" customWidth="1"/>
    <col min="104" max="104" width="20.7109375" bestFit="1" customWidth="1"/>
    <col min="105" max="105" width="17.42578125" bestFit="1" customWidth="1"/>
    <col min="106" max="106" width="20.7109375" bestFit="1" customWidth="1"/>
    <col min="107" max="107" width="25.5703125" bestFit="1" customWidth="1"/>
    <col min="108" max="108" width="7.140625" bestFit="1" customWidth="1"/>
    <col min="109" max="109" width="16.5703125" bestFit="1" customWidth="1"/>
    <col min="110" max="110" width="17.5703125" bestFit="1" customWidth="1"/>
    <col min="111" max="111" width="20.85546875" bestFit="1" customWidth="1"/>
    <col min="112" max="112" width="16.5703125" bestFit="1" customWidth="1"/>
    <col min="113" max="113" width="19.85546875" bestFit="1" customWidth="1"/>
    <col min="114" max="114" width="17.7109375" bestFit="1" customWidth="1"/>
    <col min="115" max="115" width="21" bestFit="1" customWidth="1"/>
    <col min="116" max="116" width="17.7109375" bestFit="1" customWidth="1"/>
    <col min="117" max="117" width="21" bestFit="1" customWidth="1"/>
    <col min="118" max="118" width="16.7109375" bestFit="1" customWidth="1"/>
    <col min="119" max="119" width="20" bestFit="1" customWidth="1"/>
    <col min="120" max="120" width="16" bestFit="1" customWidth="1"/>
    <col min="121" max="121" width="19.28515625" bestFit="1" customWidth="1"/>
    <col min="122" max="122" width="21.7109375" bestFit="1" customWidth="1"/>
    <col min="123" max="123" width="7.140625" bestFit="1" customWidth="1"/>
    <col min="124" max="124" width="19.5703125" bestFit="1" customWidth="1"/>
    <col min="125" max="125" width="49.5703125" bestFit="1" customWidth="1"/>
    <col min="126" max="126" width="23.7109375" bestFit="1" customWidth="1"/>
    <col min="127" max="127" width="26.85546875" bestFit="1" customWidth="1"/>
    <col min="128" max="128" width="21.85546875" bestFit="1" customWidth="1"/>
    <col min="129" max="129" width="22.140625" bestFit="1" customWidth="1"/>
    <col min="130" max="130" width="18.5703125" bestFit="1" customWidth="1"/>
    <col min="131" max="131" width="17.28515625" bestFit="1" customWidth="1"/>
    <col min="132" max="132" width="24.42578125" bestFit="1" customWidth="1"/>
    <col min="133" max="133" width="30.5703125" bestFit="1" customWidth="1"/>
    <col min="134" max="134" width="21.140625" bestFit="1" customWidth="1"/>
    <col min="135" max="135" width="19.42578125" bestFit="1" customWidth="1"/>
    <col min="136" max="136" width="12.28515625" bestFit="1" customWidth="1"/>
    <col min="137" max="137" width="14.42578125" bestFit="1" customWidth="1"/>
    <col min="138" max="138" width="10.7109375" bestFit="1" customWidth="1"/>
    <col min="139" max="139" width="18.42578125" bestFit="1" customWidth="1"/>
    <col min="140" max="140" width="27.7109375" bestFit="1" customWidth="1"/>
    <col min="141" max="142" width="12.85546875" bestFit="1" customWidth="1"/>
    <col min="143" max="143" width="15.140625" bestFit="1" customWidth="1"/>
    <col min="144" max="144" width="26" bestFit="1" customWidth="1"/>
    <col min="145" max="145" width="11.140625" bestFit="1" customWidth="1"/>
    <col min="146" max="146" width="28.7109375" bestFit="1" customWidth="1"/>
    <col min="147" max="147" width="7.140625" bestFit="1" customWidth="1"/>
    <col min="148" max="148" width="12.28515625" bestFit="1" customWidth="1"/>
    <col min="149" max="149" width="11.7109375" bestFit="1" customWidth="1"/>
    <col min="150" max="150" width="21.7109375" bestFit="1" customWidth="1"/>
    <col min="151" max="151" width="21.140625" bestFit="1" customWidth="1"/>
    <col min="152" max="152" width="28.7109375" bestFit="1" customWidth="1"/>
    <col min="153" max="153" width="40.85546875" bestFit="1" customWidth="1"/>
    <col min="154" max="154" width="7.140625" customWidth="1"/>
    <col min="155" max="155" width="11.7109375" bestFit="1" customWidth="1"/>
  </cols>
  <sheetData>
    <row r="1" spans="1:65">
      <c r="A1" s="47" t="s">
        <v>37</v>
      </c>
      <c r="B1" t="s">
        <v>62</v>
      </c>
      <c r="R1" s="47" t="s">
        <v>36</v>
      </c>
      <c r="S1" t="s">
        <v>62</v>
      </c>
    </row>
    <row r="2" spans="1:65">
      <c r="A2" s="47" t="s">
        <v>34</v>
      </c>
      <c r="B2" t="s">
        <v>35</v>
      </c>
      <c r="R2" s="47" t="s">
        <v>34</v>
      </c>
      <c r="S2" t="s">
        <v>35</v>
      </c>
    </row>
    <row r="3" spans="1:65">
      <c r="R3" s="47" t="s">
        <v>22</v>
      </c>
      <c r="S3" t="s">
        <v>26</v>
      </c>
    </row>
    <row r="4" spans="1:65">
      <c r="A4" s="47" t="s">
        <v>63</v>
      </c>
      <c r="B4" t="s">
        <v>83</v>
      </c>
    </row>
    <row r="5" spans="1:65">
      <c r="A5" s="50">
        <v>44562</v>
      </c>
      <c r="B5" s="49">
        <v>12</v>
      </c>
      <c r="R5" s="47" t="s">
        <v>83</v>
      </c>
      <c r="S5" s="47" t="s">
        <v>84</v>
      </c>
    </row>
    <row r="6" spans="1:65">
      <c r="A6" s="50">
        <v>44593</v>
      </c>
      <c r="B6" s="49">
        <v>7</v>
      </c>
      <c r="R6" s="47" t="s">
        <v>63</v>
      </c>
      <c r="S6" t="s">
        <v>87</v>
      </c>
      <c r="T6" t="s">
        <v>88</v>
      </c>
      <c r="U6" t="s">
        <v>89</v>
      </c>
      <c r="V6" t="s">
        <v>90</v>
      </c>
      <c r="W6" t="s">
        <v>91</v>
      </c>
      <c r="X6" t="s">
        <v>92</v>
      </c>
      <c r="Y6" t="s">
        <v>93</v>
      </c>
      <c r="Z6" t="s">
        <v>94</v>
      </c>
      <c r="AA6" t="s">
        <v>95</v>
      </c>
      <c r="AB6" t="s">
        <v>96</v>
      </c>
      <c r="AC6" t="s">
        <v>97</v>
      </c>
      <c r="AD6" t="s">
        <v>98</v>
      </c>
      <c r="AE6" t="s">
        <v>99</v>
      </c>
      <c r="AF6" t="s">
        <v>100</v>
      </c>
      <c r="AG6" t="s">
        <v>101</v>
      </c>
      <c r="AH6" t="s">
        <v>102</v>
      </c>
      <c r="AI6" t="s">
        <v>103</v>
      </c>
      <c r="AJ6" t="s">
        <v>104</v>
      </c>
      <c r="AK6" t="s">
        <v>105</v>
      </c>
      <c r="AL6" t="s">
        <v>106</v>
      </c>
      <c r="AM6" t="s">
        <v>107</v>
      </c>
      <c r="AN6" t="s">
        <v>108</v>
      </c>
      <c r="AO6" t="s">
        <v>109</v>
      </c>
      <c r="AP6" t="s">
        <v>110</v>
      </c>
      <c r="AQ6" t="s">
        <v>111</v>
      </c>
      <c r="AR6" t="s">
        <v>112</v>
      </c>
      <c r="AS6" t="s">
        <v>113</v>
      </c>
      <c r="AT6" t="s">
        <v>114</v>
      </c>
      <c r="AU6" t="s">
        <v>115</v>
      </c>
      <c r="AV6" t="s">
        <v>116</v>
      </c>
      <c r="AW6" t="s">
        <v>117</v>
      </c>
      <c r="AX6" t="s">
        <v>118</v>
      </c>
      <c r="AY6" t="s">
        <v>119</v>
      </c>
      <c r="AZ6" t="s">
        <v>120</v>
      </c>
      <c r="BA6" t="s">
        <v>121</v>
      </c>
      <c r="BB6" t="s">
        <v>122</v>
      </c>
      <c r="BC6" t="s">
        <v>123</v>
      </c>
      <c r="BD6" t="s">
        <v>124</v>
      </c>
      <c r="BE6" t="s">
        <v>125</v>
      </c>
      <c r="BF6" t="s">
        <v>126</v>
      </c>
      <c r="BG6" t="s">
        <v>127</v>
      </c>
      <c r="BH6" t="s">
        <v>128</v>
      </c>
      <c r="BI6" t="s">
        <v>129</v>
      </c>
      <c r="BJ6" t="s">
        <v>130</v>
      </c>
      <c r="BK6" t="s">
        <v>131</v>
      </c>
      <c r="BL6" t="s">
        <v>86</v>
      </c>
      <c r="BM6" t="s">
        <v>82</v>
      </c>
    </row>
    <row r="7" spans="1:65">
      <c r="A7" s="50">
        <v>44621</v>
      </c>
      <c r="B7" s="49">
        <v>8</v>
      </c>
      <c r="R7" s="48" t="s">
        <v>64</v>
      </c>
      <c r="S7" s="49"/>
      <c r="T7" s="49"/>
      <c r="U7" s="49"/>
      <c r="V7" s="49"/>
      <c r="W7" s="49">
        <v>1</v>
      </c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>
        <v>1</v>
      </c>
      <c r="AU7" s="49">
        <v>1</v>
      </c>
      <c r="AV7" s="49">
        <v>6</v>
      </c>
      <c r="AW7" s="49">
        <v>2</v>
      </c>
      <c r="AX7" s="49">
        <v>1</v>
      </c>
      <c r="AY7" s="49">
        <v>1</v>
      </c>
      <c r="AZ7" s="49"/>
      <c r="BA7" s="49"/>
      <c r="BB7" s="49"/>
      <c r="BC7" s="49">
        <v>1</v>
      </c>
      <c r="BD7" s="49"/>
      <c r="BE7" s="49"/>
      <c r="BF7" s="49"/>
      <c r="BG7" s="49"/>
      <c r="BH7" s="49"/>
      <c r="BI7" s="49"/>
      <c r="BJ7" s="49">
        <v>1</v>
      </c>
      <c r="BK7" s="49"/>
      <c r="BL7" s="49">
        <v>20</v>
      </c>
      <c r="BM7" s="49">
        <v>35</v>
      </c>
    </row>
    <row r="8" spans="1:65">
      <c r="A8" s="50">
        <v>44652</v>
      </c>
      <c r="B8" s="49">
        <v>13</v>
      </c>
      <c r="R8" s="48" t="s">
        <v>65</v>
      </c>
      <c r="S8" s="49"/>
      <c r="T8" s="49"/>
      <c r="U8" s="49"/>
      <c r="V8" s="49"/>
      <c r="W8" s="49">
        <v>1</v>
      </c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  <c r="AO8" s="49"/>
      <c r="AP8" s="49"/>
      <c r="AQ8" s="49"/>
      <c r="AR8" s="49"/>
      <c r="AS8" s="49"/>
      <c r="AT8" s="49"/>
      <c r="AU8" s="49"/>
      <c r="AV8" s="49">
        <v>5</v>
      </c>
      <c r="AW8" s="49">
        <v>6</v>
      </c>
      <c r="AX8" s="49">
        <v>2</v>
      </c>
      <c r="AY8" s="49">
        <v>1</v>
      </c>
      <c r="AZ8" s="49">
        <v>2</v>
      </c>
      <c r="BA8" s="49"/>
      <c r="BB8" s="49"/>
      <c r="BC8" s="49"/>
      <c r="BD8" s="49"/>
      <c r="BE8" s="49"/>
      <c r="BF8" s="49"/>
      <c r="BG8" s="49"/>
      <c r="BH8" s="49"/>
      <c r="BI8" s="49"/>
      <c r="BJ8" s="49"/>
      <c r="BK8" s="49"/>
      <c r="BL8" s="49">
        <v>17</v>
      </c>
      <c r="BM8" s="49">
        <v>34</v>
      </c>
    </row>
    <row r="9" spans="1:65">
      <c r="A9" s="50">
        <v>44682</v>
      </c>
      <c r="B9" s="49">
        <v>2</v>
      </c>
      <c r="R9" s="48" t="s">
        <v>66</v>
      </c>
      <c r="S9" s="49"/>
      <c r="T9" s="49"/>
      <c r="U9" s="49"/>
      <c r="V9" s="49"/>
      <c r="W9" s="49"/>
      <c r="X9" s="49"/>
      <c r="Y9" s="49">
        <v>1</v>
      </c>
      <c r="Z9" s="49">
        <v>1</v>
      </c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>
        <v>9</v>
      </c>
      <c r="AL9" s="49">
        <v>2</v>
      </c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49"/>
      <c r="BF9" s="49"/>
      <c r="BG9" s="49"/>
      <c r="BH9" s="49"/>
      <c r="BI9" s="49"/>
      <c r="BJ9" s="49"/>
      <c r="BK9" s="49"/>
      <c r="BL9" s="49">
        <v>19</v>
      </c>
      <c r="BM9" s="49">
        <v>32</v>
      </c>
    </row>
    <row r="10" spans="1:65">
      <c r="A10" s="50">
        <v>44713</v>
      </c>
      <c r="B10" s="49">
        <v>6</v>
      </c>
      <c r="R10" s="48" t="s">
        <v>67</v>
      </c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>
        <v>1</v>
      </c>
      <c r="AF10" s="49"/>
      <c r="AG10" s="49"/>
      <c r="AH10" s="49"/>
      <c r="AI10" s="49"/>
      <c r="AJ10" s="49"/>
      <c r="AK10" s="49"/>
      <c r="AL10" s="49"/>
      <c r="AM10" s="49"/>
      <c r="AN10" s="49">
        <v>1</v>
      </c>
      <c r="AO10" s="49"/>
      <c r="AP10" s="49"/>
      <c r="AQ10" s="49">
        <v>1</v>
      </c>
      <c r="AR10" s="49"/>
      <c r="AS10" s="49"/>
      <c r="AT10" s="49"/>
      <c r="AU10" s="49"/>
      <c r="AV10" s="49"/>
      <c r="AW10" s="49"/>
      <c r="AX10" s="49"/>
      <c r="AY10" s="49"/>
      <c r="AZ10" s="49"/>
      <c r="BA10" s="49">
        <v>3</v>
      </c>
      <c r="BB10" s="49"/>
      <c r="BC10" s="49"/>
      <c r="BD10" s="49"/>
      <c r="BE10" s="49"/>
      <c r="BF10" s="49"/>
      <c r="BG10" s="49"/>
      <c r="BH10" s="49"/>
      <c r="BI10" s="49"/>
      <c r="BJ10" s="49"/>
      <c r="BK10" s="49"/>
      <c r="BL10" s="49">
        <v>16</v>
      </c>
      <c r="BM10" s="49">
        <v>22</v>
      </c>
    </row>
    <row r="11" spans="1:65">
      <c r="A11" s="50">
        <v>44743</v>
      </c>
      <c r="B11" s="49">
        <v>5</v>
      </c>
      <c r="R11" s="48" t="s">
        <v>68</v>
      </c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>
        <v>3</v>
      </c>
      <c r="BM11" s="49">
        <v>3</v>
      </c>
    </row>
    <row r="12" spans="1:65">
      <c r="A12" s="50">
        <v>44927</v>
      </c>
      <c r="B12" s="49">
        <v>23</v>
      </c>
      <c r="R12" s="48" t="s">
        <v>69</v>
      </c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49"/>
      <c r="BF12" s="49"/>
      <c r="BG12" s="49"/>
      <c r="BH12" s="49"/>
      <c r="BI12" s="49"/>
      <c r="BJ12" s="49"/>
      <c r="BK12" s="49"/>
      <c r="BL12" s="49">
        <v>3</v>
      </c>
      <c r="BM12" s="49">
        <v>3</v>
      </c>
    </row>
    <row r="13" spans="1:65">
      <c r="A13" s="50">
        <v>44958</v>
      </c>
      <c r="B13" s="49">
        <v>35</v>
      </c>
      <c r="R13" s="48" t="s">
        <v>70</v>
      </c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>
        <v>3</v>
      </c>
      <c r="BE13" s="49"/>
      <c r="BF13" s="49"/>
      <c r="BG13" s="49"/>
      <c r="BH13" s="49"/>
      <c r="BI13" s="49"/>
      <c r="BJ13" s="49"/>
      <c r="BK13" s="49">
        <v>3</v>
      </c>
      <c r="BL13" s="49">
        <v>32</v>
      </c>
      <c r="BM13" s="49">
        <v>38</v>
      </c>
    </row>
    <row r="14" spans="1:65">
      <c r="A14" s="50">
        <v>44986</v>
      </c>
      <c r="B14" s="49">
        <v>49</v>
      </c>
      <c r="R14" s="48" t="s">
        <v>71</v>
      </c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>
        <v>3</v>
      </c>
      <c r="BH14" s="49"/>
      <c r="BI14" s="49"/>
      <c r="BJ14" s="49"/>
      <c r="BK14" s="49"/>
      <c r="BL14" s="49">
        <v>20</v>
      </c>
      <c r="BM14" s="49">
        <v>23</v>
      </c>
    </row>
    <row r="15" spans="1:65">
      <c r="A15" s="50">
        <v>45017</v>
      </c>
      <c r="B15" s="49">
        <v>36</v>
      </c>
      <c r="R15" s="48" t="s">
        <v>72</v>
      </c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>
        <v>1</v>
      </c>
      <c r="AE15" s="49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>
        <v>4</v>
      </c>
      <c r="BM15" s="49">
        <v>5</v>
      </c>
    </row>
    <row r="16" spans="1:65">
      <c r="A16" s="50">
        <v>45047</v>
      </c>
      <c r="B16" s="49">
        <v>38</v>
      </c>
      <c r="R16" s="48" t="s">
        <v>73</v>
      </c>
      <c r="S16" s="49"/>
      <c r="T16" s="49"/>
      <c r="U16" s="49"/>
      <c r="V16" s="49"/>
      <c r="W16" s="49"/>
      <c r="X16" s="49"/>
      <c r="Y16" s="49"/>
      <c r="Z16" s="49"/>
      <c r="AA16" s="49"/>
      <c r="AB16" s="49">
        <v>1</v>
      </c>
      <c r="AC16" s="49"/>
      <c r="AD16" s="49"/>
      <c r="AE16" s="49"/>
      <c r="AF16" s="49"/>
      <c r="AG16" s="49"/>
      <c r="AH16" s="49"/>
      <c r="AI16" s="49">
        <v>1</v>
      </c>
      <c r="AJ16" s="49"/>
      <c r="AK16" s="49">
        <v>10</v>
      </c>
      <c r="AL16" s="49">
        <v>9</v>
      </c>
      <c r="AM16" s="49">
        <v>1</v>
      </c>
      <c r="AN16" s="49"/>
      <c r="AO16" s="49">
        <v>2</v>
      </c>
      <c r="AP16" s="49">
        <v>1</v>
      </c>
      <c r="AQ16" s="49"/>
      <c r="AR16" s="49"/>
      <c r="AS16" s="49"/>
      <c r="AT16" s="49"/>
      <c r="AU16" s="49"/>
      <c r="AV16" s="49"/>
      <c r="AW16" s="49"/>
      <c r="AX16" s="49"/>
      <c r="AY16" s="49"/>
      <c r="AZ16" s="49"/>
      <c r="BA16" s="49"/>
      <c r="BB16" s="49"/>
      <c r="BC16" s="49"/>
      <c r="BD16" s="49"/>
      <c r="BE16" s="49"/>
      <c r="BF16" s="49"/>
      <c r="BG16" s="49"/>
      <c r="BH16" s="49"/>
      <c r="BI16" s="49"/>
      <c r="BJ16" s="49"/>
      <c r="BK16" s="49"/>
      <c r="BL16" s="49">
        <v>22</v>
      </c>
      <c r="BM16" s="49">
        <v>47</v>
      </c>
    </row>
    <row r="17" spans="1:65">
      <c r="A17" s="50">
        <v>45078</v>
      </c>
      <c r="B17" s="49">
        <v>63</v>
      </c>
      <c r="R17" s="48" t="s">
        <v>74</v>
      </c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>
        <v>1</v>
      </c>
      <c r="AG17" s="49">
        <v>1</v>
      </c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  <c r="BF17" s="49"/>
      <c r="BG17" s="49"/>
      <c r="BH17" s="49"/>
      <c r="BI17" s="49"/>
      <c r="BJ17" s="49"/>
      <c r="BK17" s="49"/>
      <c r="BL17" s="49">
        <v>15</v>
      </c>
      <c r="BM17" s="49">
        <v>17</v>
      </c>
    </row>
    <row r="18" spans="1:65">
      <c r="A18" s="50">
        <v>45108</v>
      </c>
      <c r="B18" s="49">
        <v>28</v>
      </c>
      <c r="R18" s="48" t="s">
        <v>75</v>
      </c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>
        <v>3</v>
      </c>
      <c r="AT18" s="49"/>
      <c r="AU18" s="49"/>
      <c r="AV18" s="49"/>
      <c r="AW18" s="49"/>
      <c r="AX18" s="49"/>
      <c r="AY18" s="49"/>
      <c r="AZ18" s="49"/>
      <c r="BA18" s="49"/>
      <c r="BB18" s="49"/>
      <c r="BC18" s="49"/>
      <c r="BD18" s="49"/>
      <c r="BE18" s="49"/>
      <c r="BF18" s="49"/>
      <c r="BG18" s="49"/>
      <c r="BH18" s="49"/>
      <c r="BI18" s="49"/>
      <c r="BJ18" s="49"/>
      <c r="BK18" s="49"/>
      <c r="BL18" s="49">
        <v>9</v>
      </c>
      <c r="BM18" s="49">
        <v>12</v>
      </c>
    </row>
    <row r="19" spans="1:65">
      <c r="A19" s="50">
        <v>45139</v>
      </c>
      <c r="B19" s="49">
        <v>52</v>
      </c>
      <c r="R19" s="48" t="s">
        <v>76</v>
      </c>
      <c r="S19" s="49"/>
      <c r="T19" s="49"/>
      <c r="U19" s="49"/>
      <c r="V19" s="49"/>
      <c r="W19" s="49"/>
      <c r="X19" s="49">
        <v>1</v>
      </c>
      <c r="Y19" s="49"/>
      <c r="Z19" s="49"/>
      <c r="AA19" s="49"/>
      <c r="AB19" s="49"/>
      <c r="AC19" s="49"/>
      <c r="AD19" s="49"/>
      <c r="AE19" s="49"/>
      <c r="AF19" s="49"/>
      <c r="AG19" s="49"/>
      <c r="AH19" s="49">
        <v>2</v>
      </c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49"/>
      <c r="BE19" s="49"/>
      <c r="BF19" s="49">
        <v>3</v>
      </c>
      <c r="BG19" s="49"/>
      <c r="BH19" s="49"/>
      <c r="BI19" s="49"/>
      <c r="BJ19" s="49"/>
      <c r="BK19" s="49"/>
      <c r="BL19" s="49">
        <v>4</v>
      </c>
      <c r="BM19" s="49">
        <v>10</v>
      </c>
    </row>
    <row r="20" spans="1:65">
      <c r="A20" s="50">
        <v>45170</v>
      </c>
      <c r="B20" s="49">
        <v>59</v>
      </c>
      <c r="R20" s="48" t="s">
        <v>77</v>
      </c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>
        <v>2</v>
      </c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49"/>
      <c r="BE20" s="49">
        <v>3</v>
      </c>
      <c r="BF20" s="49"/>
      <c r="BG20" s="49"/>
      <c r="BH20" s="49"/>
      <c r="BI20" s="49"/>
      <c r="BJ20" s="49"/>
      <c r="BK20" s="49"/>
      <c r="BL20" s="49">
        <v>10</v>
      </c>
      <c r="BM20" s="49">
        <v>15</v>
      </c>
    </row>
    <row r="21" spans="1:65">
      <c r="A21" s="50">
        <v>45200</v>
      </c>
      <c r="B21" s="49">
        <v>80</v>
      </c>
      <c r="R21" s="48" t="s">
        <v>78</v>
      </c>
      <c r="S21" s="49"/>
      <c r="T21" s="49">
        <v>1</v>
      </c>
      <c r="U21" s="49">
        <v>1</v>
      </c>
      <c r="V21" s="49"/>
      <c r="W21" s="49"/>
      <c r="X21" s="49"/>
      <c r="Y21" s="49"/>
      <c r="Z21" s="49"/>
      <c r="AA21" s="49">
        <v>3</v>
      </c>
      <c r="AB21" s="49"/>
      <c r="AC21" s="49"/>
      <c r="AD21" s="49"/>
      <c r="AE21" s="49"/>
      <c r="AF21" s="49"/>
      <c r="AG21" s="49"/>
      <c r="AH21" s="49"/>
      <c r="AI21" s="49"/>
      <c r="AJ21" s="49">
        <v>1</v>
      </c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49"/>
      <c r="BE21" s="49"/>
      <c r="BF21" s="49"/>
      <c r="BG21" s="49"/>
      <c r="BH21" s="49"/>
      <c r="BI21" s="49"/>
      <c r="BJ21" s="49"/>
      <c r="BK21" s="49"/>
      <c r="BL21" s="49">
        <v>18</v>
      </c>
      <c r="BM21" s="49">
        <v>24</v>
      </c>
    </row>
    <row r="22" spans="1:65">
      <c r="A22" s="50">
        <v>45231</v>
      </c>
      <c r="B22" s="49">
        <v>72</v>
      </c>
      <c r="R22" s="48" t="s">
        <v>79</v>
      </c>
      <c r="S22" s="49">
        <v>5</v>
      </c>
      <c r="T22" s="49"/>
      <c r="U22" s="49"/>
      <c r="V22" s="49">
        <v>4</v>
      </c>
      <c r="W22" s="49"/>
      <c r="X22" s="49"/>
      <c r="Y22" s="49"/>
      <c r="Z22" s="49"/>
      <c r="AA22" s="49"/>
      <c r="AB22" s="49"/>
      <c r="AC22" s="49">
        <v>5</v>
      </c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49"/>
      <c r="AZ22" s="49"/>
      <c r="BA22" s="49"/>
      <c r="BB22" s="49"/>
      <c r="BC22" s="49"/>
      <c r="BD22" s="49"/>
      <c r="BE22" s="49"/>
      <c r="BF22" s="49"/>
      <c r="BG22" s="49"/>
      <c r="BH22" s="49"/>
      <c r="BI22" s="49"/>
      <c r="BJ22" s="49"/>
      <c r="BK22" s="49"/>
      <c r="BL22" s="49">
        <v>17</v>
      </c>
      <c r="BM22" s="49">
        <v>31</v>
      </c>
    </row>
    <row r="23" spans="1:65">
      <c r="A23" s="50" t="s">
        <v>82</v>
      </c>
      <c r="B23" s="49">
        <v>588</v>
      </c>
      <c r="R23" s="48" t="s">
        <v>80</v>
      </c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49"/>
      <c r="AZ23" s="49"/>
      <c r="BA23" s="49"/>
      <c r="BB23" s="49">
        <v>1</v>
      </c>
      <c r="BC23" s="49"/>
      <c r="BD23" s="49"/>
      <c r="BE23" s="49"/>
      <c r="BF23" s="49"/>
      <c r="BG23" s="49"/>
      <c r="BH23" s="49"/>
      <c r="BI23" s="49"/>
      <c r="BJ23" s="49"/>
      <c r="BK23" s="49"/>
      <c r="BL23" s="49">
        <v>20</v>
      </c>
      <c r="BM23" s="49">
        <v>21</v>
      </c>
    </row>
    <row r="24" spans="1:65">
      <c r="R24" s="48" t="s">
        <v>81</v>
      </c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49"/>
      <c r="AY24" s="49"/>
      <c r="AZ24" s="49"/>
      <c r="BA24" s="49"/>
      <c r="BB24" s="49"/>
      <c r="BC24" s="49"/>
      <c r="BD24" s="49"/>
      <c r="BE24" s="49"/>
      <c r="BF24" s="49">
        <v>3</v>
      </c>
      <c r="BG24" s="49"/>
      <c r="BH24" s="49">
        <v>1</v>
      </c>
      <c r="BI24" s="49">
        <v>2</v>
      </c>
      <c r="BJ24" s="49"/>
      <c r="BK24" s="49"/>
      <c r="BL24" s="49">
        <v>23</v>
      </c>
      <c r="BM24" s="49">
        <v>29</v>
      </c>
    </row>
    <row r="25" spans="1:65">
      <c r="R25" s="48" t="s">
        <v>82</v>
      </c>
      <c r="S25" s="49">
        <v>5</v>
      </c>
      <c r="T25" s="49">
        <v>1</v>
      </c>
      <c r="U25" s="49">
        <v>1</v>
      </c>
      <c r="V25" s="49">
        <v>4</v>
      </c>
      <c r="W25" s="49">
        <v>2</v>
      </c>
      <c r="X25" s="49">
        <v>1</v>
      </c>
      <c r="Y25" s="49">
        <v>1</v>
      </c>
      <c r="Z25" s="49">
        <v>1</v>
      </c>
      <c r="AA25" s="49">
        <v>3</v>
      </c>
      <c r="AB25" s="49">
        <v>1</v>
      </c>
      <c r="AC25" s="49">
        <v>5</v>
      </c>
      <c r="AD25" s="49">
        <v>1</v>
      </c>
      <c r="AE25" s="49">
        <v>1</v>
      </c>
      <c r="AF25" s="49">
        <v>1</v>
      </c>
      <c r="AG25" s="49">
        <v>1</v>
      </c>
      <c r="AH25" s="49">
        <v>2</v>
      </c>
      <c r="AI25" s="49">
        <v>1</v>
      </c>
      <c r="AJ25" s="49">
        <v>1</v>
      </c>
      <c r="AK25" s="49">
        <v>19</v>
      </c>
      <c r="AL25" s="49">
        <v>11</v>
      </c>
      <c r="AM25" s="49">
        <v>1</v>
      </c>
      <c r="AN25" s="49">
        <v>1</v>
      </c>
      <c r="AO25" s="49">
        <v>2</v>
      </c>
      <c r="AP25" s="49">
        <v>1</v>
      </c>
      <c r="AQ25" s="49">
        <v>1</v>
      </c>
      <c r="AR25" s="49">
        <v>2</v>
      </c>
      <c r="AS25" s="49">
        <v>3</v>
      </c>
      <c r="AT25" s="49">
        <v>1</v>
      </c>
      <c r="AU25" s="49">
        <v>1</v>
      </c>
      <c r="AV25" s="49">
        <v>11</v>
      </c>
      <c r="AW25" s="49">
        <v>8</v>
      </c>
      <c r="AX25" s="49">
        <v>3</v>
      </c>
      <c r="AY25" s="49">
        <v>2</v>
      </c>
      <c r="AZ25" s="49">
        <v>2</v>
      </c>
      <c r="BA25" s="49">
        <v>3</v>
      </c>
      <c r="BB25" s="49">
        <v>1</v>
      </c>
      <c r="BC25" s="49">
        <v>1</v>
      </c>
      <c r="BD25" s="49">
        <v>3</v>
      </c>
      <c r="BE25" s="49">
        <v>3</v>
      </c>
      <c r="BF25" s="49">
        <v>6</v>
      </c>
      <c r="BG25" s="49">
        <v>3</v>
      </c>
      <c r="BH25" s="49">
        <v>1</v>
      </c>
      <c r="BI25" s="49">
        <v>2</v>
      </c>
      <c r="BJ25" s="49">
        <v>1</v>
      </c>
      <c r="BK25" s="49">
        <v>3</v>
      </c>
      <c r="BL25" s="49">
        <v>272</v>
      </c>
      <c r="BM25" s="49">
        <v>401</v>
      </c>
    </row>
  </sheetData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SourceAbnormality">
    <tabColor rgb="FF00B050"/>
  </sheetPr>
  <dimension ref="A1:BK803"/>
  <sheetViews>
    <sheetView tabSelected="1" view="pageBreakPreview" zoomScale="115" zoomScaleNormal="80" zoomScaleSheetLayoutView="115" workbookViewId="0">
      <pane ySplit="4" topLeftCell="A800" activePane="bottomLeft" state="frozen"/>
      <selection activeCell="H1" sqref="H1"/>
      <selection pane="bottomLeft" activeCell="Y741" sqref="Y741"/>
    </sheetView>
  </sheetViews>
  <sheetFormatPr defaultRowHeight="12.75"/>
  <cols>
    <col min="1" max="1" width="4.7109375" style="17" hidden="1" customWidth="1"/>
    <col min="2" max="2" width="13" style="17" customWidth="1"/>
    <col min="3" max="3" width="11" style="17" customWidth="1"/>
    <col min="4" max="4" width="11.85546875" customWidth="1"/>
    <col min="5" max="5" width="7.5703125" customWidth="1"/>
    <col min="6" max="6" width="15" customWidth="1"/>
    <col min="7" max="7" width="11.7109375" customWidth="1"/>
    <col min="8" max="8" width="14.42578125" customWidth="1"/>
    <col min="9" max="9" width="19.28515625" customWidth="1"/>
    <col min="10" max="10" width="31.5703125" style="2" customWidth="1"/>
    <col min="11" max="12" width="35.140625" style="2" customWidth="1"/>
    <col min="13" max="13" width="14.42578125" style="2" customWidth="1"/>
    <col min="14" max="14" width="25.140625" customWidth="1"/>
    <col min="15" max="15" width="32.85546875" style="91" customWidth="1"/>
    <col min="16" max="16" width="21.140625" style="49" customWidth="1"/>
    <col min="17" max="17" width="8.5703125" style="49" bestFit="1" customWidth="1"/>
    <col min="18" max="18" width="8.42578125" customWidth="1"/>
    <col min="19" max="19" width="9.85546875" style="122" customWidth="1"/>
    <col min="20" max="20" width="10.140625" bestFit="1" customWidth="1"/>
    <col min="21" max="21" width="5.7109375" customWidth="1"/>
    <col min="22" max="22" width="5.140625" style="1" bestFit="1" customWidth="1"/>
    <col min="23" max="23" width="15.5703125" customWidth="1"/>
    <col min="24" max="24" width="18.7109375" customWidth="1"/>
    <col min="25" max="25" width="26.42578125" customWidth="1"/>
    <col min="26" max="26" width="9" bestFit="1" customWidth="1"/>
    <col min="28" max="28" width="15.5703125" customWidth="1"/>
    <col min="53" max="53" width="7.140625" bestFit="1" customWidth="1"/>
    <col min="54" max="54" width="7.5703125" bestFit="1" customWidth="1"/>
    <col min="55" max="55" width="5.28515625" bestFit="1" customWidth="1"/>
    <col min="56" max="56" width="4.140625" bestFit="1" customWidth="1"/>
    <col min="57" max="57" width="5.42578125" bestFit="1" customWidth="1"/>
    <col min="58" max="58" width="9.5703125" bestFit="1" customWidth="1"/>
    <col min="59" max="59" width="4.5703125" bestFit="1" customWidth="1"/>
    <col min="60" max="60" width="9.7109375" bestFit="1" customWidth="1"/>
    <col min="61" max="61" width="8.42578125" bestFit="1" customWidth="1"/>
    <col min="63" max="63" width="8.5703125" bestFit="1" customWidth="1"/>
  </cols>
  <sheetData>
    <row r="1" spans="1:63" ht="23.25" customHeight="1">
      <c r="A1" s="44" t="s">
        <v>50</v>
      </c>
      <c r="B1" s="44"/>
      <c r="C1" s="44"/>
      <c r="D1" s="44"/>
      <c r="E1" s="44"/>
      <c r="F1" s="44"/>
      <c r="G1" s="44"/>
      <c r="H1" s="44" t="s">
        <v>135</v>
      </c>
      <c r="I1" s="44"/>
      <c r="J1" s="44"/>
      <c r="K1" s="44"/>
      <c r="L1" s="44"/>
      <c r="M1" s="44"/>
      <c r="N1" s="44"/>
      <c r="O1" s="90"/>
      <c r="P1" s="83"/>
      <c r="Q1" s="83"/>
      <c r="R1" s="44"/>
      <c r="S1" s="121"/>
      <c r="T1" s="44"/>
      <c r="U1" s="44"/>
      <c r="V1" s="44"/>
      <c r="W1" s="44"/>
      <c r="X1" s="44"/>
      <c r="Y1" s="44"/>
    </row>
    <row r="2" spans="1:63" ht="19.5" customHeight="1">
      <c r="A2" s="16" t="s">
        <v>41</v>
      </c>
      <c r="B2" s="16"/>
      <c r="C2" s="16"/>
    </row>
    <row r="3" spans="1:63" ht="2.25" hidden="1" customHeight="1">
      <c r="A3" s="16"/>
      <c r="B3" s="16"/>
      <c r="C3" s="16"/>
    </row>
    <row r="4" spans="1:63" s="26" customFormat="1" ht="30">
      <c r="A4" s="28" t="s">
        <v>6</v>
      </c>
      <c r="B4" s="28" t="s">
        <v>36</v>
      </c>
      <c r="C4" s="28" t="s">
        <v>34</v>
      </c>
      <c r="D4" s="28" t="s">
        <v>15</v>
      </c>
      <c r="E4" s="19" t="s">
        <v>37</v>
      </c>
      <c r="F4" s="19" t="s">
        <v>2</v>
      </c>
      <c r="G4" s="19" t="s">
        <v>22</v>
      </c>
      <c r="H4" s="19" t="s">
        <v>3</v>
      </c>
      <c r="I4" s="19" t="s">
        <v>0</v>
      </c>
      <c r="J4" s="19" t="s">
        <v>1</v>
      </c>
      <c r="K4" s="19" t="s">
        <v>11</v>
      </c>
      <c r="L4" s="20" t="s">
        <v>12</v>
      </c>
      <c r="M4" s="20" t="s">
        <v>21</v>
      </c>
      <c r="N4" s="20" t="s">
        <v>13</v>
      </c>
      <c r="O4" s="92" t="s">
        <v>5</v>
      </c>
      <c r="P4" s="84" t="s">
        <v>4</v>
      </c>
      <c r="Q4" s="84" t="s">
        <v>14</v>
      </c>
      <c r="R4" s="20" t="s">
        <v>7</v>
      </c>
      <c r="S4" s="20" t="s">
        <v>8</v>
      </c>
      <c r="T4" s="20" t="s">
        <v>16</v>
      </c>
      <c r="U4" s="20" t="s">
        <v>17</v>
      </c>
      <c r="V4" s="20" t="s">
        <v>18</v>
      </c>
      <c r="W4" s="20" t="s">
        <v>10</v>
      </c>
      <c r="X4" s="20" t="s">
        <v>85</v>
      </c>
      <c r="Y4" s="19" t="s">
        <v>9</v>
      </c>
      <c r="Z4" s="26" t="s">
        <v>33</v>
      </c>
      <c r="BA4" s="28" t="s">
        <v>36</v>
      </c>
      <c r="BB4" s="28" t="s">
        <v>34</v>
      </c>
      <c r="BC4" s="28" t="s">
        <v>15</v>
      </c>
      <c r="BD4" s="19" t="s">
        <v>37</v>
      </c>
      <c r="BE4" s="19" t="s">
        <v>2</v>
      </c>
      <c r="BF4" s="19" t="s">
        <v>22</v>
      </c>
      <c r="BG4" s="19" t="s">
        <v>3</v>
      </c>
      <c r="BH4" s="19" t="s">
        <v>0</v>
      </c>
      <c r="BI4" s="19" t="s">
        <v>1</v>
      </c>
      <c r="BJ4" s="20" t="s">
        <v>21</v>
      </c>
      <c r="BK4" s="20" t="s">
        <v>14</v>
      </c>
    </row>
    <row r="5" spans="1:63" s="25" customFormat="1" ht="26.25" customHeight="1">
      <c r="A5" s="12">
        <v>1</v>
      </c>
      <c r="B5" s="27">
        <v>45292</v>
      </c>
      <c r="C5" s="12" t="s">
        <v>35</v>
      </c>
      <c r="D5" s="6" t="s">
        <v>20</v>
      </c>
      <c r="E5" s="14" t="str">
        <f t="shared" ref="E5:E7" si="0">IF(B5="","",LEFT(N5,3))</f>
        <v>V4A</v>
      </c>
      <c r="F5" s="6" t="s">
        <v>48</v>
      </c>
      <c r="G5" s="3" t="s">
        <v>26</v>
      </c>
      <c r="H5" s="8">
        <v>0.5</v>
      </c>
      <c r="I5" s="6" t="s">
        <v>49</v>
      </c>
      <c r="J5" s="7" t="s">
        <v>132</v>
      </c>
      <c r="K5" s="7"/>
      <c r="L5" s="7" t="s">
        <v>133</v>
      </c>
      <c r="M5" s="7"/>
      <c r="N5" s="6" t="s">
        <v>134</v>
      </c>
      <c r="O5" s="13" t="s">
        <v>30</v>
      </c>
      <c r="P5" s="14" t="s">
        <v>54</v>
      </c>
      <c r="Q5" s="85">
        <v>10</v>
      </c>
      <c r="R5" s="18">
        <v>45302</v>
      </c>
      <c r="S5" s="18">
        <v>45306</v>
      </c>
      <c r="T5" s="6" t="s">
        <v>19</v>
      </c>
      <c r="U5" s="11">
        <v>10</v>
      </c>
      <c r="V5" s="10">
        <v>0</v>
      </c>
      <c r="W5" s="6" t="s">
        <v>40</v>
      </c>
      <c r="X5" s="46" t="str">
        <f t="shared" ref="X5:X10" si="1">F5&amp;H5</f>
        <v>D2-PEW-B-10.5</v>
      </c>
      <c r="Y5" s="6" t="s">
        <v>32</v>
      </c>
      <c r="Z5" s="29"/>
    </row>
    <row r="6" spans="1:63" s="25" customFormat="1" ht="22.5" customHeight="1">
      <c r="A6" s="12">
        <v>2</v>
      </c>
      <c r="B6" s="27">
        <v>45292</v>
      </c>
      <c r="C6" s="12" t="s">
        <v>35</v>
      </c>
      <c r="D6" s="6" t="s">
        <v>20</v>
      </c>
      <c r="E6" s="14" t="str">
        <f t="shared" si="0"/>
        <v>V9B</v>
      </c>
      <c r="F6" s="6" t="s">
        <v>23</v>
      </c>
      <c r="G6" s="3" t="s">
        <v>26</v>
      </c>
      <c r="H6" s="8">
        <v>0.95</v>
      </c>
      <c r="I6" s="6" t="s">
        <v>25</v>
      </c>
      <c r="J6" s="7" t="s">
        <v>44</v>
      </c>
      <c r="K6" s="7"/>
      <c r="L6" s="7" t="s">
        <v>46</v>
      </c>
      <c r="M6" s="4"/>
      <c r="N6" s="5" t="s">
        <v>136</v>
      </c>
      <c r="O6" s="13" t="s">
        <v>39</v>
      </c>
      <c r="P6" s="14">
        <v>6</v>
      </c>
      <c r="Q6" s="85">
        <v>1</v>
      </c>
      <c r="R6" s="18">
        <v>45299</v>
      </c>
      <c r="S6" s="18">
        <v>45306</v>
      </c>
      <c r="T6" s="51" t="s">
        <v>19</v>
      </c>
      <c r="U6" s="11">
        <v>1</v>
      </c>
      <c r="V6" s="10">
        <v>0</v>
      </c>
      <c r="W6" s="6" t="s">
        <v>40</v>
      </c>
      <c r="X6" s="14" t="str">
        <f t="shared" si="1"/>
        <v>0FBWSHC0.95</v>
      </c>
      <c r="Y6" s="22" t="s">
        <v>32</v>
      </c>
      <c r="Z6" s="29"/>
    </row>
    <row r="7" spans="1:63" s="25" customFormat="1" ht="22.5" customHeight="1">
      <c r="A7" s="12">
        <v>3</v>
      </c>
      <c r="B7" s="27">
        <v>45292</v>
      </c>
      <c r="C7" s="12" t="s">
        <v>35</v>
      </c>
      <c r="D7" s="6" t="s">
        <v>20</v>
      </c>
      <c r="E7" s="14" t="str">
        <f t="shared" si="0"/>
        <v>11A</v>
      </c>
      <c r="F7" s="22" t="s">
        <v>42</v>
      </c>
      <c r="G7" s="15" t="s">
        <v>27</v>
      </c>
      <c r="H7" s="31">
        <v>0.75</v>
      </c>
      <c r="I7" s="22" t="s">
        <v>43</v>
      </c>
      <c r="J7" s="21" t="s">
        <v>47</v>
      </c>
      <c r="K7" s="30"/>
      <c r="L7" s="21" t="s">
        <v>59</v>
      </c>
      <c r="M7" s="30"/>
      <c r="N7" s="22" t="s">
        <v>137</v>
      </c>
      <c r="O7" s="23" t="s">
        <v>29</v>
      </c>
      <c r="P7" s="45">
        <v>5</v>
      </c>
      <c r="Q7" s="86">
        <v>1</v>
      </c>
      <c r="R7" s="32">
        <v>45302</v>
      </c>
      <c r="S7" s="56">
        <v>45306</v>
      </c>
      <c r="T7" s="22" t="s">
        <v>19</v>
      </c>
      <c r="U7" s="33">
        <v>1</v>
      </c>
      <c r="V7" s="34">
        <v>0</v>
      </c>
      <c r="W7" s="22" t="s">
        <v>40</v>
      </c>
      <c r="X7" s="45" t="str">
        <f t="shared" si="1"/>
        <v>D1-PEW-B-2Y0.75</v>
      </c>
      <c r="Y7" s="22" t="s">
        <v>32</v>
      </c>
      <c r="Z7" s="29"/>
    </row>
    <row r="8" spans="1:63" s="25" customFormat="1" ht="24.95" customHeight="1">
      <c r="A8" s="12">
        <v>4</v>
      </c>
      <c r="B8" s="27">
        <v>45292</v>
      </c>
      <c r="C8" s="12" t="s">
        <v>35</v>
      </c>
      <c r="D8" s="6" t="s">
        <v>20</v>
      </c>
      <c r="E8" s="14" t="str">
        <f t="shared" ref="E8:E9" si="2">IF(B8="","",LEFT(N8,3))</f>
        <v>11A</v>
      </c>
      <c r="F8" s="22" t="s">
        <v>42</v>
      </c>
      <c r="G8" s="15" t="s">
        <v>27</v>
      </c>
      <c r="H8" s="8">
        <v>0.7</v>
      </c>
      <c r="I8" s="22" t="s">
        <v>43</v>
      </c>
      <c r="J8" s="21" t="s">
        <v>47</v>
      </c>
      <c r="K8" s="7"/>
      <c r="L8" s="7" t="s">
        <v>138</v>
      </c>
      <c r="M8" s="7"/>
      <c r="N8" s="6" t="s">
        <v>139</v>
      </c>
      <c r="O8" s="13" t="s">
        <v>29</v>
      </c>
      <c r="P8" s="14">
        <v>2</v>
      </c>
      <c r="Q8" s="85">
        <v>1</v>
      </c>
      <c r="R8" s="18">
        <v>45295</v>
      </c>
      <c r="S8" s="18">
        <v>45306</v>
      </c>
      <c r="T8" s="6" t="s">
        <v>19</v>
      </c>
      <c r="U8" s="11">
        <v>1</v>
      </c>
      <c r="V8" s="10">
        <v>0</v>
      </c>
      <c r="W8" s="6" t="s">
        <v>40</v>
      </c>
      <c r="X8" s="46" t="str">
        <f t="shared" si="1"/>
        <v>D1-PEW-B-2Y0.7</v>
      </c>
      <c r="Y8" s="6" t="s">
        <v>32</v>
      </c>
      <c r="Z8" s="29"/>
    </row>
    <row r="9" spans="1:63" s="25" customFormat="1" ht="24.95" customHeight="1">
      <c r="A9" s="12">
        <v>5</v>
      </c>
      <c r="B9" s="27">
        <v>45292</v>
      </c>
      <c r="C9" s="12" t="s">
        <v>35</v>
      </c>
      <c r="D9" s="6" t="s">
        <v>20</v>
      </c>
      <c r="E9" s="14" t="str">
        <f t="shared" si="2"/>
        <v>11A</v>
      </c>
      <c r="F9" s="22" t="s">
        <v>42</v>
      </c>
      <c r="G9" s="15" t="s">
        <v>27</v>
      </c>
      <c r="H9" s="8">
        <v>0.7</v>
      </c>
      <c r="I9" s="22" t="s">
        <v>43</v>
      </c>
      <c r="J9" s="21" t="s">
        <v>47</v>
      </c>
      <c r="K9" s="7"/>
      <c r="L9" s="7" t="s">
        <v>60</v>
      </c>
      <c r="M9" s="4"/>
      <c r="N9" s="5" t="s">
        <v>140</v>
      </c>
      <c r="O9" s="13" t="s">
        <v>39</v>
      </c>
      <c r="P9" s="14">
        <v>5</v>
      </c>
      <c r="Q9" s="85">
        <v>1</v>
      </c>
      <c r="R9" s="18">
        <v>45294</v>
      </c>
      <c r="S9" s="18">
        <v>45306</v>
      </c>
      <c r="T9" s="51" t="s">
        <v>19</v>
      </c>
      <c r="U9" s="11">
        <v>1</v>
      </c>
      <c r="V9" s="10">
        <v>0</v>
      </c>
      <c r="W9" s="6" t="s">
        <v>40</v>
      </c>
      <c r="X9" s="14" t="str">
        <f t="shared" si="1"/>
        <v>D1-PEW-B-2Y0.7</v>
      </c>
      <c r="Y9" s="22" t="s">
        <v>32</v>
      </c>
      <c r="Z9" s="29"/>
    </row>
    <row r="10" spans="1:63" s="25" customFormat="1" ht="24.95" customHeight="1">
      <c r="A10" s="12">
        <v>6</v>
      </c>
      <c r="B10" s="27">
        <v>45292</v>
      </c>
      <c r="C10" s="12" t="s">
        <v>35</v>
      </c>
      <c r="D10" s="6" t="s">
        <v>20</v>
      </c>
      <c r="E10" s="14" t="str">
        <f>IF(B10="","",LEFT(N10,3))</f>
        <v>11A</v>
      </c>
      <c r="F10" s="22" t="s">
        <v>42</v>
      </c>
      <c r="G10" s="3" t="s">
        <v>26</v>
      </c>
      <c r="H10" s="31">
        <v>0.75</v>
      </c>
      <c r="I10" s="22" t="s">
        <v>43</v>
      </c>
      <c r="J10" s="21" t="s">
        <v>58</v>
      </c>
      <c r="K10" s="30"/>
      <c r="L10" s="21" t="s">
        <v>141</v>
      </c>
      <c r="M10" s="30"/>
      <c r="N10" s="22" t="s">
        <v>142</v>
      </c>
      <c r="O10" s="23" t="s">
        <v>56</v>
      </c>
      <c r="P10" s="45" t="s">
        <v>143</v>
      </c>
      <c r="Q10" s="86">
        <v>6</v>
      </c>
      <c r="R10" s="32">
        <v>45301</v>
      </c>
      <c r="S10" s="56">
        <v>45306</v>
      </c>
      <c r="T10" s="22" t="s">
        <v>19</v>
      </c>
      <c r="U10" s="33">
        <v>6</v>
      </c>
      <c r="V10" s="34">
        <v>0</v>
      </c>
      <c r="W10" s="22" t="s">
        <v>40</v>
      </c>
      <c r="X10" s="45" t="str">
        <f t="shared" si="1"/>
        <v>D1-PEW-B-2Y0.75</v>
      </c>
      <c r="Y10" s="22" t="s">
        <v>32</v>
      </c>
      <c r="Z10" s="29"/>
    </row>
    <row r="11" spans="1:63" s="25" customFormat="1" ht="24.75" customHeight="1">
      <c r="A11" s="12">
        <v>7</v>
      </c>
      <c r="B11" s="27">
        <v>45292</v>
      </c>
      <c r="C11" s="12" t="s">
        <v>35</v>
      </c>
      <c r="D11" s="6" t="s">
        <v>20</v>
      </c>
      <c r="E11" s="14" t="str">
        <f>IF(B10="","",LEFT(N11,3))</f>
        <v>11A</v>
      </c>
      <c r="F11" s="22" t="s">
        <v>42</v>
      </c>
      <c r="G11" s="3" t="s">
        <v>26</v>
      </c>
      <c r="H11" s="31">
        <v>0.75</v>
      </c>
      <c r="I11" s="22" t="s">
        <v>43</v>
      </c>
      <c r="J11" s="7" t="s">
        <v>55</v>
      </c>
      <c r="K11" s="7"/>
      <c r="L11" s="21"/>
      <c r="M11" s="4"/>
      <c r="N11" s="5" t="s">
        <v>137</v>
      </c>
      <c r="O11" s="13" t="s">
        <v>263</v>
      </c>
      <c r="P11" s="14" t="s">
        <v>38</v>
      </c>
      <c r="Q11" s="14">
        <v>5</v>
      </c>
      <c r="R11" s="9">
        <v>45303</v>
      </c>
      <c r="S11" s="18">
        <v>45306</v>
      </c>
      <c r="T11" s="6" t="s">
        <v>19</v>
      </c>
      <c r="U11" s="11">
        <v>5</v>
      </c>
      <c r="V11" s="10">
        <v>0</v>
      </c>
      <c r="W11" s="6" t="s">
        <v>40</v>
      </c>
      <c r="X11" s="45" t="str">
        <f t="shared" ref="X11:X76" si="3">F11&amp;H11</f>
        <v>D1-PEW-B-2Y0.75</v>
      </c>
      <c r="Y11" s="6" t="s">
        <v>32</v>
      </c>
      <c r="Z11" s="29"/>
    </row>
    <row r="12" spans="1:63" s="25" customFormat="1" ht="24.95" customHeight="1">
      <c r="A12" s="12">
        <v>8</v>
      </c>
      <c r="B12" s="27">
        <v>45292</v>
      </c>
      <c r="C12" s="12" t="s">
        <v>35</v>
      </c>
      <c r="D12" s="6" t="s">
        <v>20</v>
      </c>
      <c r="E12" s="14" t="str">
        <f t="shared" ref="E12:E63" si="4">IF(B11="","",LEFT(N12,3))</f>
        <v>V1A</v>
      </c>
      <c r="F12" s="6" t="s">
        <v>24</v>
      </c>
      <c r="G12" s="3" t="s">
        <v>26</v>
      </c>
      <c r="H12" s="8">
        <v>0.85</v>
      </c>
      <c r="I12" s="6" t="s">
        <v>28</v>
      </c>
      <c r="J12" s="7" t="s">
        <v>45</v>
      </c>
      <c r="K12" s="7"/>
      <c r="L12" s="7" t="s">
        <v>144</v>
      </c>
      <c r="M12" s="4"/>
      <c r="N12" s="5" t="s">
        <v>145</v>
      </c>
      <c r="O12" s="13" t="s">
        <v>30</v>
      </c>
      <c r="P12" s="14">
        <v>4</v>
      </c>
      <c r="Q12" s="14">
        <v>1</v>
      </c>
      <c r="R12" s="9">
        <v>45303</v>
      </c>
      <c r="S12" s="18">
        <v>45306</v>
      </c>
      <c r="T12" s="6" t="s">
        <v>19</v>
      </c>
      <c r="U12" s="11">
        <v>1</v>
      </c>
      <c r="V12" s="10">
        <v>0</v>
      </c>
      <c r="W12" s="6" t="s">
        <v>40</v>
      </c>
      <c r="X12" s="45" t="str">
        <f t="shared" si="3"/>
        <v>2PEW0.85</v>
      </c>
      <c r="Y12" s="6" t="s">
        <v>32</v>
      </c>
      <c r="Z12" s="29"/>
    </row>
    <row r="13" spans="1:63" s="25" customFormat="1" ht="24.95" customHeight="1">
      <c r="A13" s="12"/>
      <c r="B13" s="27">
        <v>45292</v>
      </c>
      <c r="C13" s="12" t="s">
        <v>35</v>
      </c>
      <c r="D13" s="6" t="s">
        <v>20</v>
      </c>
      <c r="E13" s="14" t="str">
        <f t="shared" si="4"/>
        <v>V9A</v>
      </c>
      <c r="F13" s="6" t="s">
        <v>151</v>
      </c>
      <c r="G13" s="3" t="s">
        <v>26</v>
      </c>
      <c r="H13" s="8">
        <v>0.9</v>
      </c>
      <c r="I13" s="6" t="s">
        <v>31</v>
      </c>
      <c r="J13" s="7" t="s">
        <v>152</v>
      </c>
      <c r="K13" s="7"/>
      <c r="L13" s="7" t="s">
        <v>153</v>
      </c>
      <c r="M13" s="4"/>
      <c r="N13" s="5" t="s">
        <v>154</v>
      </c>
      <c r="O13" s="13" t="s">
        <v>39</v>
      </c>
      <c r="P13" s="14">
        <v>5</v>
      </c>
      <c r="Q13" s="14">
        <v>1</v>
      </c>
      <c r="R13" s="9">
        <v>45306</v>
      </c>
      <c r="S13" s="18">
        <v>45307</v>
      </c>
      <c r="T13" s="6" t="s">
        <v>19</v>
      </c>
      <c r="U13" s="11">
        <v>1</v>
      </c>
      <c r="V13" s="10">
        <v>0</v>
      </c>
      <c r="W13" s="6" t="s">
        <v>40</v>
      </c>
      <c r="X13" s="45" t="str">
        <f t="shared" ref="X13:X19" si="5">F13&amp;H13</f>
        <v>D1PEW-B-2Y0.9</v>
      </c>
      <c r="Y13" s="6" t="s">
        <v>32</v>
      </c>
      <c r="Z13" s="29"/>
    </row>
    <row r="14" spans="1:63" s="25" customFormat="1" ht="24.95" customHeight="1">
      <c r="A14" s="12"/>
      <c r="B14" s="27">
        <v>45292</v>
      </c>
      <c r="C14" s="12" t="s">
        <v>35</v>
      </c>
      <c r="D14" s="6" t="s">
        <v>20</v>
      </c>
      <c r="E14" s="14" t="str">
        <f t="shared" si="4"/>
        <v>V4A</v>
      </c>
      <c r="F14" s="6" t="s">
        <v>48</v>
      </c>
      <c r="G14" s="15" t="s">
        <v>27</v>
      </c>
      <c r="H14" s="8">
        <v>0.5</v>
      </c>
      <c r="I14" s="6" t="s">
        <v>49</v>
      </c>
      <c r="J14" s="7" t="s">
        <v>155</v>
      </c>
      <c r="K14" s="7"/>
      <c r="L14" s="53" t="s">
        <v>156</v>
      </c>
      <c r="M14" s="4"/>
      <c r="N14" s="5" t="s">
        <v>157</v>
      </c>
      <c r="O14" s="13" t="s">
        <v>29</v>
      </c>
      <c r="P14" s="14">
        <v>10</v>
      </c>
      <c r="Q14" s="14">
        <v>1</v>
      </c>
      <c r="R14" s="9">
        <v>45299</v>
      </c>
      <c r="S14" s="18">
        <v>45307</v>
      </c>
      <c r="T14" s="6" t="s">
        <v>19</v>
      </c>
      <c r="U14" s="11">
        <v>1</v>
      </c>
      <c r="V14" s="10">
        <v>0</v>
      </c>
      <c r="W14" s="6" t="s">
        <v>40</v>
      </c>
      <c r="X14" s="45" t="str">
        <f t="shared" si="5"/>
        <v>D2-PEW-B-10.5</v>
      </c>
      <c r="Y14" s="6" t="s">
        <v>32</v>
      </c>
      <c r="Z14" s="29"/>
    </row>
    <row r="15" spans="1:63" s="25" customFormat="1" ht="24.95" customHeight="1">
      <c r="A15" s="12"/>
      <c r="B15" s="27">
        <v>45292</v>
      </c>
      <c r="C15" s="12" t="s">
        <v>35</v>
      </c>
      <c r="D15" s="6" t="s">
        <v>20</v>
      </c>
      <c r="E15" s="14" t="str">
        <f t="shared" si="4"/>
        <v>V9B</v>
      </c>
      <c r="F15" s="6" t="s">
        <v>23</v>
      </c>
      <c r="G15" s="3" t="s">
        <v>26</v>
      </c>
      <c r="H15" s="8">
        <v>1.2</v>
      </c>
      <c r="I15" s="6" t="s">
        <v>25</v>
      </c>
      <c r="J15" s="7" t="s">
        <v>158</v>
      </c>
      <c r="K15" s="7" t="s">
        <v>159</v>
      </c>
      <c r="L15" s="53" t="s">
        <v>160</v>
      </c>
      <c r="M15" s="4"/>
      <c r="N15" s="5" t="s">
        <v>161</v>
      </c>
      <c r="O15" s="13" t="s">
        <v>30</v>
      </c>
      <c r="P15" s="14">
        <v>3</v>
      </c>
      <c r="Q15" s="14">
        <v>1</v>
      </c>
      <c r="R15" s="9">
        <v>45306</v>
      </c>
      <c r="S15" s="18">
        <v>45307</v>
      </c>
      <c r="T15" s="6" t="s">
        <v>19</v>
      </c>
      <c r="U15" s="11">
        <v>1</v>
      </c>
      <c r="V15" s="10">
        <v>0</v>
      </c>
      <c r="W15" s="6" t="s">
        <v>40</v>
      </c>
      <c r="X15" s="45" t="str">
        <f t="shared" si="5"/>
        <v>0FBWSHC1.2</v>
      </c>
      <c r="Y15" s="6" t="s">
        <v>32</v>
      </c>
      <c r="Z15" s="29"/>
    </row>
    <row r="16" spans="1:63" s="25" customFormat="1" ht="24.95" customHeight="1">
      <c r="A16" s="12"/>
      <c r="B16" s="27">
        <v>45292</v>
      </c>
      <c r="C16" s="12" t="s">
        <v>35</v>
      </c>
      <c r="D16" s="6" t="s">
        <v>20</v>
      </c>
      <c r="E16" s="14" t="str">
        <f t="shared" si="4"/>
        <v>V1B</v>
      </c>
      <c r="F16" s="6" t="s">
        <v>24</v>
      </c>
      <c r="G16" s="3" t="s">
        <v>26</v>
      </c>
      <c r="H16" s="8">
        <v>0.8</v>
      </c>
      <c r="I16" s="6" t="s">
        <v>28</v>
      </c>
      <c r="J16" s="7" t="s">
        <v>162</v>
      </c>
      <c r="K16" s="7" t="s">
        <v>163</v>
      </c>
      <c r="L16" s="53"/>
      <c r="M16" s="4"/>
      <c r="N16" s="5" t="s">
        <v>164</v>
      </c>
      <c r="O16" s="13" t="s">
        <v>30</v>
      </c>
      <c r="P16" s="14">
        <v>2</v>
      </c>
      <c r="Q16" s="14">
        <v>1</v>
      </c>
      <c r="R16" s="9">
        <v>45299</v>
      </c>
      <c r="S16" s="18">
        <v>45307</v>
      </c>
      <c r="T16" s="6" t="s">
        <v>19</v>
      </c>
      <c r="U16" s="11">
        <v>1</v>
      </c>
      <c r="V16" s="10">
        <v>0</v>
      </c>
      <c r="W16" s="6" t="s">
        <v>40</v>
      </c>
      <c r="X16" s="45" t="str">
        <f t="shared" si="5"/>
        <v>2PEW0.8</v>
      </c>
      <c r="Y16" s="6" t="s">
        <v>32</v>
      </c>
      <c r="Z16" s="29"/>
    </row>
    <row r="17" spans="1:26" s="25" customFormat="1" ht="24.95" customHeight="1">
      <c r="A17" s="12"/>
      <c r="B17" s="27">
        <v>45292</v>
      </c>
      <c r="C17" s="12" t="s">
        <v>35</v>
      </c>
      <c r="D17" s="6" t="s">
        <v>20</v>
      </c>
      <c r="E17" s="14" t="str">
        <f t="shared" si="4"/>
        <v>12A</v>
      </c>
      <c r="F17" s="6" t="s">
        <v>165</v>
      </c>
      <c r="G17" s="15" t="s">
        <v>27</v>
      </c>
      <c r="H17" s="8">
        <v>1.81</v>
      </c>
      <c r="I17" s="6" t="s">
        <v>28</v>
      </c>
      <c r="J17" s="7" t="s">
        <v>166</v>
      </c>
      <c r="K17" s="7" t="s">
        <v>167</v>
      </c>
      <c r="L17" s="53" t="s">
        <v>168</v>
      </c>
      <c r="M17" s="4"/>
      <c r="N17" s="5" t="s">
        <v>169</v>
      </c>
      <c r="O17" s="13" t="s">
        <v>30</v>
      </c>
      <c r="P17" s="14">
        <v>4</v>
      </c>
      <c r="Q17" s="14">
        <v>1</v>
      </c>
      <c r="R17" s="9">
        <v>45300</v>
      </c>
      <c r="S17" s="18">
        <v>45308</v>
      </c>
      <c r="T17" s="6" t="s">
        <v>19</v>
      </c>
      <c r="U17" s="11">
        <v>1</v>
      </c>
      <c r="V17" s="10">
        <v>0</v>
      </c>
      <c r="W17" s="6" t="s">
        <v>40</v>
      </c>
      <c r="X17" s="45" t="str">
        <f t="shared" si="5"/>
        <v>2EIWAD-O1.81</v>
      </c>
      <c r="Y17" s="6" t="s">
        <v>32</v>
      </c>
      <c r="Z17" s="29"/>
    </row>
    <row r="18" spans="1:26" s="25" customFormat="1" ht="24.95" customHeight="1">
      <c r="A18" s="12"/>
      <c r="B18" s="27">
        <v>45292</v>
      </c>
      <c r="C18" s="12" t="s">
        <v>35</v>
      </c>
      <c r="D18" s="6" t="s">
        <v>20</v>
      </c>
      <c r="E18" s="14" t="str">
        <f t="shared" si="4"/>
        <v>12A</v>
      </c>
      <c r="F18" s="6" t="s">
        <v>165</v>
      </c>
      <c r="G18" s="15" t="s">
        <v>27</v>
      </c>
      <c r="H18" s="8">
        <v>1.81</v>
      </c>
      <c r="I18" s="6" t="s">
        <v>28</v>
      </c>
      <c r="J18" s="7" t="s">
        <v>166</v>
      </c>
      <c r="K18" s="7" t="s">
        <v>170</v>
      </c>
      <c r="L18" s="53" t="s">
        <v>171</v>
      </c>
      <c r="M18" s="4"/>
      <c r="N18" s="5" t="s">
        <v>169</v>
      </c>
      <c r="O18" s="13" t="s">
        <v>29</v>
      </c>
      <c r="P18" s="14">
        <v>4</v>
      </c>
      <c r="Q18" s="14">
        <v>1</v>
      </c>
      <c r="R18" s="9">
        <v>45300</v>
      </c>
      <c r="S18" s="18">
        <v>45308</v>
      </c>
      <c r="T18" s="6" t="s">
        <v>19</v>
      </c>
      <c r="U18" s="11">
        <v>1</v>
      </c>
      <c r="V18" s="10">
        <v>0</v>
      </c>
      <c r="W18" s="6" t="s">
        <v>40</v>
      </c>
      <c r="X18" s="45" t="str">
        <f t="shared" si="5"/>
        <v>2EIWAD-O1.81</v>
      </c>
      <c r="Y18" s="6" t="s">
        <v>32</v>
      </c>
      <c r="Z18" s="29"/>
    </row>
    <row r="19" spans="1:26" s="25" customFormat="1" ht="24.95" customHeight="1">
      <c r="A19" s="12"/>
      <c r="B19" s="27">
        <v>45292</v>
      </c>
      <c r="C19" s="12" t="s">
        <v>35</v>
      </c>
      <c r="D19" s="6" t="s">
        <v>20</v>
      </c>
      <c r="E19" s="14" t="str">
        <f t="shared" si="4"/>
        <v>V9B</v>
      </c>
      <c r="F19" s="6" t="s">
        <v>23</v>
      </c>
      <c r="G19" s="15" t="s">
        <v>27</v>
      </c>
      <c r="H19" s="8">
        <v>1.2</v>
      </c>
      <c r="I19" s="6" t="s">
        <v>25</v>
      </c>
      <c r="J19" s="7" t="s">
        <v>172</v>
      </c>
      <c r="K19" s="53" t="s">
        <v>173</v>
      </c>
      <c r="L19" s="53" t="s">
        <v>174</v>
      </c>
      <c r="M19" s="4"/>
      <c r="N19" s="5" t="s">
        <v>175</v>
      </c>
      <c r="O19" s="13" t="s">
        <v>176</v>
      </c>
      <c r="P19" s="14">
        <v>5</v>
      </c>
      <c r="Q19" s="14">
        <v>2</v>
      </c>
      <c r="R19" s="9">
        <v>45303</v>
      </c>
      <c r="S19" s="18">
        <v>45308</v>
      </c>
      <c r="T19" s="6" t="s">
        <v>19</v>
      </c>
      <c r="U19" s="11">
        <v>2</v>
      </c>
      <c r="V19" s="10">
        <v>0</v>
      </c>
      <c r="W19" s="6" t="s">
        <v>40</v>
      </c>
      <c r="X19" s="45" t="str">
        <f t="shared" si="5"/>
        <v>0FBWSHC1.2</v>
      </c>
      <c r="Y19" s="6" t="s">
        <v>32</v>
      </c>
      <c r="Z19" s="29"/>
    </row>
    <row r="20" spans="1:26" s="25" customFormat="1" ht="24.95" customHeight="1">
      <c r="A20" s="12"/>
      <c r="B20" s="27">
        <v>45292</v>
      </c>
      <c r="C20" s="12" t="s">
        <v>35</v>
      </c>
      <c r="D20" s="6" t="s">
        <v>20</v>
      </c>
      <c r="E20" s="14" t="str">
        <f t="shared" si="4"/>
        <v>V4A</v>
      </c>
      <c r="F20" s="6" t="s">
        <v>177</v>
      </c>
      <c r="G20" s="3" t="s">
        <v>26</v>
      </c>
      <c r="H20" s="8">
        <v>0.5</v>
      </c>
      <c r="I20" s="6" t="s">
        <v>178</v>
      </c>
      <c r="J20" s="7" t="s">
        <v>179</v>
      </c>
      <c r="K20" s="53"/>
      <c r="L20" s="53" t="s">
        <v>180</v>
      </c>
      <c r="M20" s="4"/>
      <c r="N20" s="5" t="s">
        <v>181</v>
      </c>
      <c r="O20" s="13" t="s">
        <v>30</v>
      </c>
      <c r="P20" s="14">
        <v>7</v>
      </c>
      <c r="Q20" s="14">
        <v>1</v>
      </c>
      <c r="R20" s="9">
        <v>45308</v>
      </c>
      <c r="S20" s="18">
        <v>45310</v>
      </c>
      <c r="T20" s="6" t="s">
        <v>19</v>
      </c>
      <c r="U20" s="11">
        <v>0</v>
      </c>
      <c r="V20" s="10">
        <v>1</v>
      </c>
      <c r="W20" s="6" t="s">
        <v>40</v>
      </c>
      <c r="X20" s="45" t="str">
        <f t="shared" ref="X20:X29" si="6">F20&amp;H20</f>
        <v>D2DSW20.5</v>
      </c>
      <c r="Y20" s="6" t="s">
        <v>182</v>
      </c>
      <c r="Z20" s="29"/>
    </row>
    <row r="21" spans="1:26" s="25" customFormat="1" ht="24.95" customHeight="1">
      <c r="A21" s="12"/>
      <c r="B21" s="27">
        <v>45292</v>
      </c>
      <c r="C21" s="12" t="s">
        <v>35</v>
      </c>
      <c r="D21" s="6" t="s">
        <v>20</v>
      </c>
      <c r="E21" s="14" t="str">
        <f t="shared" si="4"/>
        <v>11A</v>
      </c>
      <c r="F21" s="6" t="s">
        <v>151</v>
      </c>
      <c r="G21" s="15" t="s">
        <v>27</v>
      </c>
      <c r="H21" s="8">
        <v>0.9</v>
      </c>
      <c r="I21" s="6" t="s">
        <v>31</v>
      </c>
      <c r="J21" s="7" t="s">
        <v>47</v>
      </c>
      <c r="K21" s="53"/>
      <c r="L21" s="53" t="s">
        <v>183</v>
      </c>
      <c r="M21" s="4"/>
      <c r="N21" s="5" t="s">
        <v>184</v>
      </c>
      <c r="O21" s="13" t="s">
        <v>176</v>
      </c>
      <c r="P21" s="14" t="s">
        <v>185</v>
      </c>
      <c r="Q21" s="14">
        <v>3</v>
      </c>
      <c r="R21" s="9">
        <v>45307</v>
      </c>
      <c r="S21" s="18">
        <v>45310</v>
      </c>
      <c r="T21" s="6" t="s">
        <v>19</v>
      </c>
      <c r="U21" s="11">
        <v>3</v>
      </c>
      <c r="V21" s="10">
        <v>0</v>
      </c>
      <c r="W21" s="6" t="s">
        <v>40</v>
      </c>
      <c r="X21" s="45" t="str">
        <f t="shared" si="6"/>
        <v>D1PEW-B-2Y0.9</v>
      </c>
      <c r="Y21" s="6" t="s">
        <v>32</v>
      </c>
      <c r="Z21" s="29"/>
    </row>
    <row r="22" spans="1:26" s="25" customFormat="1" ht="24.95" customHeight="1">
      <c r="A22" s="12"/>
      <c r="B22" s="27">
        <v>45292</v>
      </c>
      <c r="C22" s="12" t="s">
        <v>35</v>
      </c>
      <c r="D22" s="6" t="s">
        <v>20</v>
      </c>
      <c r="E22" s="14" t="str">
        <f t="shared" si="4"/>
        <v>V6A</v>
      </c>
      <c r="F22" s="6" t="s">
        <v>186</v>
      </c>
      <c r="G22" s="3" t="s">
        <v>26</v>
      </c>
      <c r="H22" s="8">
        <v>1.18</v>
      </c>
      <c r="I22" s="6" t="s">
        <v>187</v>
      </c>
      <c r="J22" s="7" t="s">
        <v>188</v>
      </c>
      <c r="K22" s="53"/>
      <c r="L22" s="53" t="s">
        <v>189</v>
      </c>
      <c r="M22" s="4"/>
      <c r="N22" s="5" t="s">
        <v>190</v>
      </c>
      <c r="O22" s="13" t="s">
        <v>29</v>
      </c>
      <c r="P22" s="14">
        <v>5</v>
      </c>
      <c r="Q22" s="14">
        <v>1</v>
      </c>
      <c r="R22" s="9">
        <v>45308</v>
      </c>
      <c r="S22" s="18">
        <v>45310</v>
      </c>
      <c r="T22" s="6" t="s">
        <v>19</v>
      </c>
      <c r="U22" s="11">
        <v>0</v>
      </c>
      <c r="V22" s="10">
        <v>1</v>
      </c>
      <c r="W22" s="6" t="s">
        <v>40</v>
      </c>
      <c r="X22" s="45" t="str">
        <f t="shared" si="6"/>
        <v>1HGZ-MA1.18</v>
      </c>
      <c r="Y22" s="6" t="s">
        <v>182</v>
      </c>
      <c r="Z22" s="29"/>
    </row>
    <row r="23" spans="1:26" s="25" customFormat="1" ht="24.95" customHeight="1">
      <c r="A23" s="12"/>
      <c r="B23" s="27">
        <v>45292</v>
      </c>
      <c r="C23" s="12" t="s">
        <v>35</v>
      </c>
      <c r="D23" s="6" t="s">
        <v>20</v>
      </c>
      <c r="E23" s="14" t="str">
        <f t="shared" si="4"/>
        <v>V6A</v>
      </c>
      <c r="F23" s="6" t="s">
        <v>186</v>
      </c>
      <c r="G23" s="3" t="s">
        <v>26</v>
      </c>
      <c r="H23" s="8">
        <v>1.18</v>
      </c>
      <c r="I23" s="6" t="s">
        <v>187</v>
      </c>
      <c r="J23" s="7" t="s">
        <v>191</v>
      </c>
      <c r="K23" s="53"/>
      <c r="L23" s="53" t="s">
        <v>192</v>
      </c>
      <c r="M23" s="4"/>
      <c r="N23" s="5" t="s">
        <v>190</v>
      </c>
      <c r="O23" s="13" t="s">
        <v>193</v>
      </c>
      <c r="P23" s="14" t="s">
        <v>194</v>
      </c>
      <c r="Q23" s="14">
        <v>2</v>
      </c>
      <c r="R23" s="9">
        <v>45309</v>
      </c>
      <c r="S23" s="18">
        <v>45310</v>
      </c>
      <c r="T23" s="6" t="s">
        <v>19</v>
      </c>
      <c r="U23" s="11">
        <v>0</v>
      </c>
      <c r="V23" s="10">
        <v>2</v>
      </c>
      <c r="W23" s="6" t="s">
        <v>40</v>
      </c>
      <c r="X23" s="45" t="str">
        <f t="shared" si="6"/>
        <v>1HGZ-MA1.18</v>
      </c>
      <c r="Y23" s="6" t="s">
        <v>182</v>
      </c>
      <c r="Z23" s="29"/>
    </row>
    <row r="24" spans="1:26" s="25" customFormat="1" ht="24.95" customHeight="1">
      <c r="A24" s="12"/>
      <c r="B24" s="27">
        <v>45292</v>
      </c>
      <c r="C24" s="12" t="s">
        <v>35</v>
      </c>
      <c r="D24" s="6" t="s">
        <v>20</v>
      </c>
      <c r="E24" s="14" t="str">
        <f t="shared" si="4"/>
        <v>11A</v>
      </c>
      <c r="F24" s="6" t="s">
        <v>151</v>
      </c>
      <c r="G24" s="3" t="s">
        <v>26</v>
      </c>
      <c r="H24" s="8">
        <v>0.9</v>
      </c>
      <c r="I24" s="6" t="s">
        <v>31</v>
      </c>
      <c r="J24" s="7" t="s">
        <v>58</v>
      </c>
      <c r="K24" s="53"/>
      <c r="L24" s="53"/>
      <c r="M24" s="4"/>
      <c r="N24" s="5" t="s">
        <v>184</v>
      </c>
      <c r="O24" s="13" t="s">
        <v>195</v>
      </c>
      <c r="P24" s="14" t="s">
        <v>38</v>
      </c>
      <c r="Q24" s="14">
        <v>5</v>
      </c>
      <c r="R24" s="9">
        <v>45308</v>
      </c>
      <c r="S24" s="18">
        <v>45310</v>
      </c>
      <c r="T24" s="6" t="s">
        <v>19</v>
      </c>
      <c r="U24" s="11">
        <v>5</v>
      </c>
      <c r="V24" s="10">
        <v>0</v>
      </c>
      <c r="W24" s="6" t="s">
        <v>40</v>
      </c>
      <c r="X24" s="45" t="str">
        <f t="shared" si="6"/>
        <v>D1PEW-B-2Y0.9</v>
      </c>
      <c r="Y24" s="6" t="s">
        <v>32</v>
      </c>
      <c r="Z24" s="29"/>
    </row>
    <row r="25" spans="1:26" s="25" customFormat="1" ht="24.95" customHeight="1">
      <c r="A25" s="12"/>
      <c r="B25" s="27">
        <v>45292</v>
      </c>
      <c r="C25" s="12" t="s">
        <v>35</v>
      </c>
      <c r="D25" s="6" t="s">
        <v>20</v>
      </c>
      <c r="E25" s="14" t="str">
        <f t="shared" si="4"/>
        <v>V9B</v>
      </c>
      <c r="F25" s="6" t="s">
        <v>23</v>
      </c>
      <c r="G25" s="3" t="s">
        <v>26</v>
      </c>
      <c r="H25" s="8">
        <v>1.2</v>
      </c>
      <c r="I25" s="6" t="s">
        <v>25</v>
      </c>
      <c r="J25" s="7" t="s">
        <v>196</v>
      </c>
      <c r="K25" s="53"/>
      <c r="L25" s="53" t="s">
        <v>46</v>
      </c>
      <c r="M25" s="4"/>
      <c r="N25" s="5" t="s">
        <v>197</v>
      </c>
      <c r="O25" s="13" t="s">
        <v>198</v>
      </c>
      <c r="P25" s="14" t="s">
        <v>199</v>
      </c>
      <c r="Q25" s="14">
        <v>2</v>
      </c>
      <c r="R25" s="9">
        <v>45308</v>
      </c>
      <c r="S25" s="18">
        <v>45310</v>
      </c>
      <c r="T25" s="6" t="s">
        <v>19</v>
      </c>
      <c r="U25" s="11">
        <v>0</v>
      </c>
      <c r="V25" s="10">
        <v>2</v>
      </c>
      <c r="W25" s="6" t="s">
        <v>40</v>
      </c>
      <c r="X25" s="45" t="str">
        <f t="shared" si="6"/>
        <v>0FBWSHC1.2</v>
      </c>
      <c r="Y25" s="6" t="s">
        <v>182</v>
      </c>
      <c r="Z25" s="29"/>
    </row>
    <row r="26" spans="1:26" s="25" customFormat="1" ht="24.95" customHeight="1">
      <c r="A26" s="12"/>
      <c r="B26" s="27">
        <v>45292</v>
      </c>
      <c r="C26" s="12" t="s">
        <v>35</v>
      </c>
      <c r="D26" s="6" t="s">
        <v>20</v>
      </c>
      <c r="E26" s="14" t="str">
        <f t="shared" si="4"/>
        <v>V4B</v>
      </c>
      <c r="F26" s="6" t="s">
        <v>200</v>
      </c>
      <c r="G26" s="3" t="s">
        <v>26</v>
      </c>
      <c r="H26" s="8">
        <v>0.4</v>
      </c>
      <c r="I26" s="6" t="s">
        <v>31</v>
      </c>
      <c r="J26" s="7" t="s">
        <v>201</v>
      </c>
      <c r="K26" s="53"/>
      <c r="L26" s="53"/>
      <c r="M26" s="4"/>
      <c r="N26" s="5" t="s">
        <v>202</v>
      </c>
      <c r="O26" s="13" t="s">
        <v>30</v>
      </c>
      <c r="P26" s="14">
        <v>1</v>
      </c>
      <c r="Q26" s="14">
        <v>1</v>
      </c>
      <c r="R26" s="9">
        <v>45304</v>
      </c>
      <c r="S26" s="18">
        <v>45308</v>
      </c>
      <c r="T26" s="6" t="s">
        <v>19</v>
      </c>
      <c r="U26" s="11">
        <v>1</v>
      </c>
      <c r="V26" s="10">
        <v>0</v>
      </c>
      <c r="W26" s="6" t="s">
        <v>40</v>
      </c>
      <c r="X26" s="45" t="str">
        <f t="shared" si="6"/>
        <v>D2IDW-4-B-20.4</v>
      </c>
      <c r="Y26" s="6" t="s">
        <v>32</v>
      </c>
      <c r="Z26" s="29"/>
    </row>
    <row r="27" spans="1:26" s="25" customFormat="1" ht="24.95" customHeight="1">
      <c r="A27" s="12"/>
      <c r="B27" s="27">
        <v>45292</v>
      </c>
      <c r="C27" s="12" t="s">
        <v>35</v>
      </c>
      <c r="D27" s="6" t="s">
        <v>20</v>
      </c>
      <c r="E27" s="14" t="str">
        <f t="shared" si="4"/>
        <v>V9B</v>
      </c>
      <c r="F27" s="6" t="s">
        <v>23</v>
      </c>
      <c r="G27" s="3" t="s">
        <v>26</v>
      </c>
      <c r="H27" s="8">
        <v>1.2</v>
      </c>
      <c r="I27" s="6" t="s">
        <v>25</v>
      </c>
      <c r="J27" s="7" t="s">
        <v>203</v>
      </c>
      <c r="K27" s="53"/>
      <c r="L27" s="53"/>
      <c r="M27" s="4"/>
      <c r="N27" s="5" t="s">
        <v>204</v>
      </c>
      <c r="O27" s="13" t="s">
        <v>29</v>
      </c>
      <c r="P27" s="14">
        <v>3</v>
      </c>
      <c r="Q27" s="14">
        <v>1</v>
      </c>
      <c r="R27" s="9">
        <v>45312</v>
      </c>
      <c r="S27" s="18">
        <v>45313</v>
      </c>
      <c r="T27" s="6" t="s">
        <v>19</v>
      </c>
      <c r="U27" s="11">
        <v>1</v>
      </c>
      <c r="V27" s="10">
        <v>0</v>
      </c>
      <c r="W27" s="6" t="s">
        <v>40</v>
      </c>
      <c r="X27" s="45" t="str">
        <f t="shared" si="6"/>
        <v>0FBWSHC1.2</v>
      </c>
      <c r="Y27" s="6" t="s">
        <v>32</v>
      </c>
      <c r="Z27" s="29"/>
    </row>
    <row r="28" spans="1:26" s="25" customFormat="1" ht="24.95" customHeight="1">
      <c r="A28" s="12"/>
      <c r="B28" s="27">
        <v>45292</v>
      </c>
      <c r="C28" s="12" t="s">
        <v>35</v>
      </c>
      <c r="D28" s="6" t="s">
        <v>20</v>
      </c>
      <c r="E28" s="14" t="str">
        <f t="shared" si="4"/>
        <v>V6B</v>
      </c>
      <c r="F28" s="6" t="s">
        <v>205</v>
      </c>
      <c r="G28" s="3" t="s">
        <v>26</v>
      </c>
      <c r="H28" s="8">
        <v>1.35</v>
      </c>
      <c r="I28" s="6" t="s">
        <v>206</v>
      </c>
      <c r="J28" s="7" t="s">
        <v>207</v>
      </c>
      <c r="K28" s="53"/>
      <c r="L28" s="53" t="s">
        <v>208</v>
      </c>
      <c r="M28" s="4"/>
      <c r="N28" s="5" t="s">
        <v>209</v>
      </c>
      <c r="O28" s="13" t="s">
        <v>30</v>
      </c>
      <c r="P28" s="14">
        <v>6</v>
      </c>
      <c r="Q28" s="14">
        <v>1</v>
      </c>
      <c r="R28" s="9">
        <v>45309</v>
      </c>
      <c r="S28" s="18">
        <v>45313</v>
      </c>
      <c r="T28" s="6" t="s">
        <v>19</v>
      </c>
      <c r="U28" s="11">
        <v>1</v>
      </c>
      <c r="V28" s="10">
        <v>0</v>
      </c>
      <c r="W28" s="6" t="s">
        <v>40</v>
      </c>
      <c r="X28" s="45" t="str">
        <f t="shared" si="6"/>
        <v>2EIWAD1.35</v>
      </c>
      <c r="Y28" s="6" t="s">
        <v>32</v>
      </c>
      <c r="Z28" s="29"/>
    </row>
    <row r="29" spans="1:26" s="25" customFormat="1" ht="24.95" customHeight="1">
      <c r="A29" s="12"/>
      <c r="B29" s="27">
        <v>45292</v>
      </c>
      <c r="C29" s="12" t="s">
        <v>35</v>
      </c>
      <c r="D29" s="6" t="s">
        <v>20</v>
      </c>
      <c r="E29" s="14" t="str">
        <f t="shared" si="4"/>
        <v>V4A</v>
      </c>
      <c r="F29" s="6" t="s">
        <v>177</v>
      </c>
      <c r="G29" s="3" t="s">
        <v>26</v>
      </c>
      <c r="H29" s="8">
        <v>0.5</v>
      </c>
      <c r="I29" s="6" t="s">
        <v>178</v>
      </c>
      <c r="J29" s="7" t="s">
        <v>207</v>
      </c>
      <c r="K29" s="53"/>
      <c r="L29" s="53" t="s">
        <v>210</v>
      </c>
      <c r="M29" s="4"/>
      <c r="N29" s="5" t="s">
        <v>211</v>
      </c>
      <c r="O29" s="13" t="s">
        <v>30</v>
      </c>
      <c r="P29" s="14">
        <v>2</v>
      </c>
      <c r="Q29" s="14">
        <v>1</v>
      </c>
      <c r="R29" s="9">
        <v>45309</v>
      </c>
      <c r="S29" s="18">
        <v>45310</v>
      </c>
      <c r="T29" s="6" t="s">
        <v>19</v>
      </c>
      <c r="U29" s="11">
        <v>1</v>
      </c>
      <c r="V29" s="10">
        <v>0</v>
      </c>
      <c r="W29" s="6" t="s">
        <v>40</v>
      </c>
      <c r="X29" s="45" t="str">
        <f t="shared" si="6"/>
        <v>D2DSW20.5</v>
      </c>
      <c r="Y29" s="6" t="s">
        <v>32</v>
      </c>
      <c r="Z29" s="29"/>
    </row>
    <row r="30" spans="1:26" s="25" customFormat="1" ht="24.95" customHeight="1">
      <c r="A30" s="12"/>
      <c r="B30" s="27">
        <v>45292</v>
      </c>
      <c r="C30" s="12" t="s">
        <v>35</v>
      </c>
      <c r="D30" s="6" t="s">
        <v>20</v>
      </c>
      <c r="E30" s="14" t="str">
        <f>IF(B29="","",LEFT(N30,3))</f>
        <v>11B</v>
      </c>
      <c r="F30" s="6" t="s">
        <v>24</v>
      </c>
      <c r="G30" s="15" t="s">
        <v>27</v>
      </c>
      <c r="H30" s="8">
        <v>0.9</v>
      </c>
      <c r="I30" s="6" t="s">
        <v>28</v>
      </c>
      <c r="J30" s="7" t="s">
        <v>47</v>
      </c>
      <c r="K30" s="53"/>
      <c r="L30" s="53" t="s">
        <v>240</v>
      </c>
      <c r="M30" s="4"/>
      <c r="N30" s="5" t="s">
        <v>241</v>
      </c>
      <c r="O30" s="13" t="s">
        <v>242</v>
      </c>
      <c r="P30" s="14" t="s">
        <v>243</v>
      </c>
      <c r="Q30" s="14">
        <v>2</v>
      </c>
      <c r="R30" s="9">
        <v>45309</v>
      </c>
      <c r="S30" s="18">
        <v>45314</v>
      </c>
      <c r="T30" s="6" t="s">
        <v>19</v>
      </c>
      <c r="U30" s="11">
        <v>2</v>
      </c>
      <c r="V30" s="10">
        <v>0</v>
      </c>
      <c r="W30" s="6" t="s">
        <v>40</v>
      </c>
      <c r="X30" s="45" t="str">
        <f t="shared" ref="X30:X35" si="7">F30&amp;H30</f>
        <v>2PEW0.9</v>
      </c>
      <c r="Y30" s="6" t="s">
        <v>32</v>
      </c>
      <c r="Z30" s="29"/>
    </row>
    <row r="31" spans="1:26" s="25" customFormat="1" ht="24.95" customHeight="1">
      <c r="A31" s="12"/>
      <c r="B31" s="27">
        <v>45292</v>
      </c>
      <c r="C31" s="12" t="s">
        <v>35</v>
      </c>
      <c r="D31" s="6" t="s">
        <v>20</v>
      </c>
      <c r="E31" s="14" t="str">
        <f t="shared" ref="E31:E37" si="8">IF(B29="","",LEFT(N31,3))</f>
        <v>V4A</v>
      </c>
      <c r="F31" s="6" t="s">
        <v>177</v>
      </c>
      <c r="G31" s="3" t="s">
        <v>26</v>
      </c>
      <c r="H31" s="8">
        <v>0.5</v>
      </c>
      <c r="I31" s="6" t="s">
        <v>178</v>
      </c>
      <c r="J31" s="7" t="s">
        <v>248</v>
      </c>
      <c r="K31" s="53"/>
      <c r="L31" s="53"/>
      <c r="M31" s="4"/>
      <c r="N31" s="5" t="s">
        <v>249</v>
      </c>
      <c r="O31" s="13" t="s">
        <v>30</v>
      </c>
      <c r="P31" s="14" t="s">
        <v>250</v>
      </c>
      <c r="Q31" s="14">
        <v>1</v>
      </c>
      <c r="R31" s="9">
        <v>45311</v>
      </c>
      <c r="S31" s="18">
        <v>45320</v>
      </c>
      <c r="T31" s="6" t="s">
        <v>19</v>
      </c>
      <c r="U31" s="11">
        <v>1</v>
      </c>
      <c r="V31" s="10">
        <v>0</v>
      </c>
      <c r="W31" s="6" t="s">
        <v>40</v>
      </c>
      <c r="X31" s="45" t="str">
        <f t="shared" si="7"/>
        <v>D2DSW20.5</v>
      </c>
      <c r="Y31" s="6" t="s">
        <v>32</v>
      </c>
      <c r="Z31" s="29"/>
    </row>
    <row r="32" spans="1:26" s="25" customFormat="1" ht="24.95" customHeight="1">
      <c r="A32" s="12"/>
      <c r="B32" s="27">
        <v>45292</v>
      </c>
      <c r="C32" s="12" t="s">
        <v>35</v>
      </c>
      <c r="D32" s="6" t="s">
        <v>20</v>
      </c>
      <c r="E32" s="14" t="str">
        <f t="shared" si="8"/>
        <v>11A</v>
      </c>
      <c r="F32" s="6" t="s">
        <v>251</v>
      </c>
      <c r="G32" s="15" t="s">
        <v>27</v>
      </c>
      <c r="H32" s="8">
        <v>0.83</v>
      </c>
      <c r="I32" s="6" t="s">
        <v>252</v>
      </c>
      <c r="J32" s="7" t="s">
        <v>47</v>
      </c>
      <c r="K32" s="53" t="s">
        <v>253</v>
      </c>
      <c r="L32" s="53" t="s">
        <v>254</v>
      </c>
      <c r="M32" s="4"/>
      <c r="N32" s="5" t="s">
        <v>255</v>
      </c>
      <c r="O32" s="13" t="s">
        <v>30</v>
      </c>
      <c r="P32" s="14" t="s">
        <v>256</v>
      </c>
      <c r="Q32" s="14">
        <v>1</v>
      </c>
      <c r="R32" s="9">
        <v>45315</v>
      </c>
      <c r="S32" s="18">
        <v>45320</v>
      </c>
      <c r="T32" s="6" t="s">
        <v>19</v>
      </c>
      <c r="U32" s="11">
        <v>1</v>
      </c>
      <c r="V32" s="10">
        <v>0</v>
      </c>
      <c r="W32" s="6" t="s">
        <v>40</v>
      </c>
      <c r="X32" s="45" t="str">
        <f t="shared" si="7"/>
        <v>D2-IDW-4E0.83</v>
      </c>
      <c r="Y32" s="6" t="s">
        <v>32</v>
      </c>
      <c r="Z32" s="29"/>
    </row>
    <row r="33" spans="1:26" s="25" customFormat="1" ht="24.95" customHeight="1">
      <c r="A33" s="12"/>
      <c r="B33" s="27">
        <v>45292</v>
      </c>
      <c r="C33" s="12" t="s">
        <v>35</v>
      </c>
      <c r="D33" s="6" t="s">
        <v>20</v>
      </c>
      <c r="E33" s="14" t="str">
        <f t="shared" si="8"/>
        <v>VOB</v>
      </c>
      <c r="F33" s="6" t="s">
        <v>42</v>
      </c>
      <c r="G33" s="3" t="s">
        <v>26</v>
      </c>
      <c r="H33" s="8">
        <v>0.7</v>
      </c>
      <c r="I33" s="6" t="s">
        <v>43</v>
      </c>
      <c r="J33" s="7" t="s">
        <v>221</v>
      </c>
      <c r="K33" s="53"/>
      <c r="L33" s="53" t="s">
        <v>257</v>
      </c>
      <c r="M33" s="4"/>
      <c r="N33" s="5" t="s">
        <v>258</v>
      </c>
      <c r="O33" s="13" t="s">
        <v>29</v>
      </c>
      <c r="P33" s="14" t="s">
        <v>256</v>
      </c>
      <c r="Q33" s="14">
        <v>1</v>
      </c>
      <c r="R33" s="9">
        <v>45317</v>
      </c>
      <c r="S33" s="18">
        <v>45320</v>
      </c>
      <c r="T33" s="6" t="s">
        <v>19</v>
      </c>
      <c r="U33" s="11">
        <v>1</v>
      </c>
      <c r="V33" s="10">
        <v>0</v>
      </c>
      <c r="W33" s="6" t="s">
        <v>40</v>
      </c>
      <c r="X33" s="45" t="str">
        <f t="shared" si="7"/>
        <v>D1-PEW-B-2Y0.7</v>
      </c>
      <c r="Y33" s="6" t="s">
        <v>32</v>
      </c>
      <c r="Z33" s="29"/>
    </row>
    <row r="34" spans="1:26" s="25" customFormat="1" ht="24.95" customHeight="1">
      <c r="A34" s="12"/>
      <c r="B34" s="27">
        <v>45292</v>
      </c>
      <c r="C34" s="12" t="s">
        <v>35</v>
      </c>
      <c r="D34" s="6" t="s">
        <v>20</v>
      </c>
      <c r="E34" s="14" t="str">
        <f t="shared" si="8"/>
        <v>VOA</v>
      </c>
      <c r="F34" s="6" t="s">
        <v>259</v>
      </c>
      <c r="G34" s="15" t="s">
        <v>27</v>
      </c>
      <c r="H34" s="8">
        <v>0.6</v>
      </c>
      <c r="I34" s="6" t="s">
        <v>31</v>
      </c>
      <c r="J34" s="7" t="s">
        <v>260</v>
      </c>
      <c r="K34" s="53"/>
      <c r="L34" s="53" t="s">
        <v>261</v>
      </c>
      <c r="M34" s="4"/>
      <c r="N34" s="5" t="s">
        <v>262</v>
      </c>
      <c r="O34" s="13" t="s">
        <v>263</v>
      </c>
      <c r="P34" s="14" t="s">
        <v>38</v>
      </c>
      <c r="Q34" s="14">
        <v>5</v>
      </c>
      <c r="R34" s="9">
        <v>45312</v>
      </c>
      <c r="S34" s="18">
        <v>45315</v>
      </c>
      <c r="T34" s="6" t="s">
        <v>19</v>
      </c>
      <c r="U34" s="11">
        <v>5</v>
      </c>
      <c r="V34" s="10">
        <v>0</v>
      </c>
      <c r="W34" s="6" t="s">
        <v>40</v>
      </c>
      <c r="X34" s="45" t="str">
        <f t="shared" si="7"/>
        <v>D1-PEW-B-2T0.6</v>
      </c>
      <c r="Y34" s="6" t="s">
        <v>32</v>
      </c>
      <c r="Z34" s="29"/>
    </row>
    <row r="35" spans="1:26" s="25" customFormat="1" ht="24.95" customHeight="1">
      <c r="A35" s="12"/>
      <c r="B35" s="27">
        <v>45292</v>
      </c>
      <c r="C35" s="12" t="s">
        <v>35</v>
      </c>
      <c r="D35" s="6" t="s">
        <v>20</v>
      </c>
      <c r="E35" s="14" t="str">
        <f t="shared" si="8"/>
        <v>V9A</v>
      </c>
      <c r="F35" s="6" t="s">
        <v>267</v>
      </c>
      <c r="G35" s="3" t="s">
        <v>26</v>
      </c>
      <c r="H35" s="8">
        <v>1.25</v>
      </c>
      <c r="I35" s="6" t="s">
        <v>268</v>
      </c>
      <c r="J35" s="7" t="s">
        <v>269</v>
      </c>
      <c r="K35" s="53" t="s">
        <v>270</v>
      </c>
      <c r="L35" s="53" t="s">
        <v>271</v>
      </c>
      <c r="M35" s="4"/>
      <c r="N35" s="5" t="s">
        <v>272</v>
      </c>
      <c r="O35" s="13" t="s">
        <v>263</v>
      </c>
      <c r="P35" s="14" t="s">
        <v>273</v>
      </c>
      <c r="Q35" s="14">
        <v>1</v>
      </c>
      <c r="R35" s="9">
        <v>45310</v>
      </c>
      <c r="S35" s="18">
        <v>45320</v>
      </c>
      <c r="T35" s="6" t="s">
        <v>19</v>
      </c>
      <c r="U35" s="11">
        <v>1</v>
      </c>
      <c r="V35" s="10">
        <v>0</v>
      </c>
      <c r="W35" s="6" t="s">
        <v>40</v>
      </c>
      <c r="X35" s="45" t="str">
        <f t="shared" si="7"/>
        <v>1-ATZ-3001.25</v>
      </c>
      <c r="Y35" s="6" t="s">
        <v>32</v>
      </c>
      <c r="Z35" s="29"/>
    </row>
    <row r="36" spans="1:26" s="25" customFormat="1" ht="24.95" customHeight="1">
      <c r="A36" s="12"/>
      <c r="B36" s="27">
        <v>45292</v>
      </c>
      <c r="C36" s="12" t="s">
        <v>35</v>
      </c>
      <c r="D36" s="6" t="s">
        <v>20</v>
      </c>
      <c r="E36" s="14" t="str">
        <f t="shared" si="8"/>
        <v>V6A</v>
      </c>
      <c r="F36" s="6" t="s">
        <v>186</v>
      </c>
      <c r="G36" s="15" t="s">
        <v>27</v>
      </c>
      <c r="H36" s="8">
        <v>1.18</v>
      </c>
      <c r="I36" s="6" t="s">
        <v>187</v>
      </c>
      <c r="J36" s="53" t="s">
        <v>278</v>
      </c>
      <c r="K36" s="53"/>
      <c r="L36" s="53" t="s">
        <v>279</v>
      </c>
      <c r="M36" s="4"/>
      <c r="N36" s="5" t="s">
        <v>280</v>
      </c>
      <c r="O36" s="13" t="s">
        <v>30</v>
      </c>
      <c r="P36" s="14" t="s">
        <v>38</v>
      </c>
      <c r="Q36" s="14">
        <v>5</v>
      </c>
      <c r="R36" s="9">
        <v>45313</v>
      </c>
      <c r="S36" s="18">
        <v>45322</v>
      </c>
      <c r="T36" s="6" t="s">
        <v>19</v>
      </c>
      <c r="U36" s="11">
        <v>5</v>
      </c>
      <c r="V36" s="10">
        <v>0</v>
      </c>
      <c r="W36" s="6" t="s">
        <v>40</v>
      </c>
      <c r="X36" s="45" t="str">
        <f>F36&amp;H36</f>
        <v>1HGZ-MA1.18</v>
      </c>
      <c r="Y36" s="6" t="s">
        <v>32</v>
      </c>
      <c r="Z36" s="29"/>
    </row>
    <row r="37" spans="1:26" s="25" customFormat="1" ht="24.95" customHeight="1">
      <c r="A37" s="12"/>
      <c r="B37" s="27">
        <v>45292</v>
      </c>
      <c r="C37" s="12" t="s">
        <v>35</v>
      </c>
      <c r="D37" s="6" t="s">
        <v>20</v>
      </c>
      <c r="E37" s="14" t="str">
        <f t="shared" si="8"/>
        <v>11B</v>
      </c>
      <c r="F37" s="6" t="s">
        <v>24</v>
      </c>
      <c r="G37" s="3" t="s">
        <v>26</v>
      </c>
      <c r="H37" s="8">
        <v>0.82</v>
      </c>
      <c r="I37" s="6" t="s">
        <v>28</v>
      </c>
      <c r="J37" s="53" t="s">
        <v>45</v>
      </c>
      <c r="K37" s="53"/>
      <c r="L37" s="53" t="s">
        <v>208</v>
      </c>
      <c r="M37" s="4"/>
      <c r="N37" s="5" t="s">
        <v>281</v>
      </c>
      <c r="O37" s="13" t="s">
        <v>29</v>
      </c>
      <c r="P37" s="14" t="s">
        <v>256</v>
      </c>
      <c r="Q37" s="14">
        <v>1</v>
      </c>
      <c r="R37" s="9">
        <v>45313</v>
      </c>
      <c r="S37" s="18">
        <v>45322</v>
      </c>
      <c r="T37" s="6" t="s">
        <v>19</v>
      </c>
      <c r="U37" s="11">
        <v>1</v>
      </c>
      <c r="V37" s="10">
        <v>0</v>
      </c>
      <c r="W37" s="6" t="s">
        <v>40</v>
      </c>
      <c r="X37" s="45" t="str">
        <f>F37&amp;H37</f>
        <v>2PEW0.82</v>
      </c>
      <c r="Y37" s="6" t="s">
        <v>32</v>
      </c>
      <c r="Z37" s="29"/>
    </row>
    <row r="38" spans="1:26" s="25" customFormat="1" ht="24.95" customHeight="1">
      <c r="A38" s="12"/>
      <c r="B38" s="27">
        <v>45292</v>
      </c>
      <c r="C38" s="12" t="s">
        <v>35</v>
      </c>
      <c r="D38" s="6" t="s">
        <v>20</v>
      </c>
      <c r="E38" s="14" t="str">
        <f>IF(B36="","",LEFT(N38,3))</f>
        <v>11B</v>
      </c>
      <c r="F38" s="6" t="s">
        <v>24</v>
      </c>
      <c r="G38" s="3" t="s">
        <v>26</v>
      </c>
      <c r="H38" s="8">
        <v>0.77</v>
      </c>
      <c r="I38" s="6" t="s">
        <v>206</v>
      </c>
      <c r="J38" s="53" t="s">
        <v>282</v>
      </c>
      <c r="K38" s="53"/>
      <c r="L38" s="53" t="s">
        <v>283</v>
      </c>
      <c r="M38" s="4"/>
      <c r="N38" s="5" t="s">
        <v>284</v>
      </c>
      <c r="O38" s="13" t="s">
        <v>30</v>
      </c>
      <c r="P38" s="14" t="s">
        <v>38</v>
      </c>
      <c r="Q38" s="14">
        <v>5</v>
      </c>
      <c r="R38" s="9">
        <v>45317</v>
      </c>
      <c r="S38" s="18">
        <v>45322</v>
      </c>
      <c r="T38" s="6" t="s">
        <v>19</v>
      </c>
      <c r="U38" s="11">
        <v>5</v>
      </c>
      <c r="V38" s="10">
        <v>0</v>
      </c>
      <c r="W38" s="6" t="s">
        <v>40</v>
      </c>
      <c r="X38" s="45" t="str">
        <f>F38&amp;H38</f>
        <v>2PEW0.77</v>
      </c>
      <c r="Y38" s="6" t="s">
        <v>32</v>
      </c>
      <c r="Z38" s="29"/>
    </row>
    <row r="39" spans="1:26" s="25" customFormat="1" ht="24.95" customHeight="1">
      <c r="A39" s="12"/>
      <c r="B39" s="27">
        <v>45292</v>
      </c>
      <c r="C39" s="52" t="s">
        <v>51</v>
      </c>
      <c r="D39" s="6" t="s">
        <v>20</v>
      </c>
      <c r="E39" s="14" t="str">
        <f>IF(B29="","",LEFT(N39,3))</f>
        <v>H2A</v>
      </c>
      <c r="F39" s="22" t="s">
        <v>52</v>
      </c>
      <c r="G39" s="3" t="s">
        <v>26</v>
      </c>
      <c r="H39" s="31">
        <v>0.25</v>
      </c>
      <c r="I39" s="22" t="s">
        <v>31</v>
      </c>
      <c r="J39" s="21" t="s">
        <v>146</v>
      </c>
      <c r="K39" s="21" t="s">
        <v>147</v>
      </c>
      <c r="L39" s="21"/>
      <c r="M39" s="30"/>
      <c r="N39" s="22" t="s">
        <v>148</v>
      </c>
      <c r="O39" s="23" t="s">
        <v>30</v>
      </c>
      <c r="P39" s="86">
        <v>2</v>
      </c>
      <c r="Q39" s="86">
        <v>1</v>
      </c>
      <c r="R39" s="32">
        <v>45295</v>
      </c>
      <c r="S39" s="56">
        <v>45299</v>
      </c>
      <c r="T39" s="22" t="s">
        <v>19</v>
      </c>
      <c r="U39" s="33">
        <v>1</v>
      </c>
      <c r="V39" s="34">
        <v>0</v>
      </c>
      <c r="W39" s="22" t="s">
        <v>40</v>
      </c>
      <c r="X39" s="45" t="str">
        <f t="shared" ref="X39:X41" si="9">F39&amp;H39</f>
        <v>D2IDW4-B-20.25</v>
      </c>
      <c r="Y39" s="22" t="s">
        <v>32</v>
      </c>
      <c r="Z39" s="29"/>
    </row>
    <row r="40" spans="1:26" s="25" customFormat="1" ht="24.95" customHeight="1">
      <c r="A40" s="12"/>
      <c r="B40" s="27">
        <v>45292</v>
      </c>
      <c r="C40" s="52" t="s">
        <v>51</v>
      </c>
      <c r="D40" s="6" t="s">
        <v>20</v>
      </c>
      <c r="E40" s="14" t="str">
        <f t="shared" si="4"/>
        <v>H1B</v>
      </c>
      <c r="F40" s="22" t="s">
        <v>52</v>
      </c>
      <c r="G40" s="3" t="s">
        <v>26</v>
      </c>
      <c r="H40" s="31">
        <v>0.26</v>
      </c>
      <c r="I40" s="22" t="s">
        <v>43</v>
      </c>
      <c r="J40" s="21" t="s">
        <v>53</v>
      </c>
      <c r="K40" s="21" t="s">
        <v>61</v>
      </c>
      <c r="L40" s="21" t="s">
        <v>57</v>
      </c>
      <c r="M40" s="30"/>
      <c r="N40" s="22" t="s">
        <v>149</v>
      </c>
      <c r="O40" s="23" t="s">
        <v>30</v>
      </c>
      <c r="P40" s="45">
        <v>3</v>
      </c>
      <c r="Q40" s="86">
        <v>1</v>
      </c>
      <c r="R40" s="32">
        <v>45295</v>
      </c>
      <c r="S40" s="56">
        <v>45299</v>
      </c>
      <c r="T40" s="22" t="s">
        <v>19</v>
      </c>
      <c r="U40" s="33">
        <v>1</v>
      </c>
      <c r="V40" s="34">
        <v>0</v>
      </c>
      <c r="W40" s="22" t="s">
        <v>40</v>
      </c>
      <c r="X40" s="45" t="str">
        <f t="shared" si="9"/>
        <v>D2IDW4-B-20.26</v>
      </c>
      <c r="Y40" s="22" t="s">
        <v>32</v>
      </c>
      <c r="Z40" s="29"/>
    </row>
    <row r="41" spans="1:26" s="25" customFormat="1" ht="24.95" customHeight="1">
      <c r="A41" s="12"/>
      <c r="B41" s="27">
        <v>45292</v>
      </c>
      <c r="C41" s="52" t="s">
        <v>51</v>
      </c>
      <c r="D41" s="6" t="s">
        <v>20</v>
      </c>
      <c r="E41" s="14" t="str">
        <f t="shared" si="4"/>
        <v>H1A</v>
      </c>
      <c r="F41" s="22" t="s">
        <v>52</v>
      </c>
      <c r="G41" s="3" t="s">
        <v>26</v>
      </c>
      <c r="H41" s="31">
        <v>0.26</v>
      </c>
      <c r="I41" s="22" t="s">
        <v>43</v>
      </c>
      <c r="J41" s="21" t="s">
        <v>53</v>
      </c>
      <c r="K41" s="21" t="s">
        <v>61</v>
      </c>
      <c r="L41" s="21"/>
      <c r="M41" s="30"/>
      <c r="N41" s="22" t="s">
        <v>150</v>
      </c>
      <c r="O41" s="23" t="s">
        <v>30</v>
      </c>
      <c r="P41" s="45">
        <v>2</v>
      </c>
      <c r="Q41" s="86">
        <v>1</v>
      </c>
      <c r="R41" s="32">
        <v>45295</v>
      </c>
      <c r="S41" s="56">
        <v>45299</v>
      </c>
      <c r="T41" s="22" t="s">
        <v>19</v>
      </c>
      <c r="U41" s="33">
        <v>1</v>
      </c>
      <c r="V41" s="34">
        <v>0</v>
      </c>
      <c r="W41" s="22" t="s">
        <v>40</v>
      </c>
      <c r="X41" s="45" t="str">
        <f t="shared" si="9"/>
        <v>D2IDW4-B-20.26</v>
      </c>
      <c r="Y41" s="22" t="s">
        <v>32</v>
      </c>
      <c r="Z41" s="29"/>
    </row>
    <row r="42" spans="1:26" s="25" customFormat="1" ht="24.95" customHeight="1">
      <c r="A42" s="12"/>
      <c r="B42" s="27">
        <v>45292</v>
      </c>
      <c r="C42" s="52" t="s">
        <v>51</v>
      </c>
      <c r="D42" s="6" t="s">
        <v>20</v>
      </c>
      <c r="E42" s="14" t="str">
        <f t="shared" si="4"/>
        <v>H2B</v>
      </c>
      <c r="F42" s="6" t="s">
        <v>212</v>
      </c>
      <c r="G42" s="15" t="s">
        <v>27</v>
      </c>
      <c r="H42" s="8">
        <v>0.31</v>
      </c>
      <c r="I42" s="6" t="s">
        <v>31</v>
      </c>
      <c r="J42" s="7" t="s">
        <v>213</v>
      </c>
      <c r="K42" s="53" t="s">
        <v>214</v>
      </c>
      <c r="L42" s="53" t="s">
        <v>216</v>
      </c>
      <c r="M42" s="4"/>
      <c r="N42" s="5" t="s">
        <v>215</v>
      </c>
      <c r="O42" s="13" t="s">
        <v>30</v>
      </c>
      <c r="P42" s="14" t="s">
        <v>38</v>
      </c>
      <c r="Q42" s="14">
        <v>5</v>
      </c>
      <c r="R42" s="9">
        <v>45295</v>
      </c>
      <c r="S42" s="18">
        <v>45313</v>
      </c>
      <c r="T42" s="6" t="s">
        <v>19</v>
      </c>
      <c r="U42" s="11">
        <v>5</v>
      </c>
      <c r="V42" s="10">
        <v>0</v>
      </c>
      <c r="W42" s="6" t="s">
        <v>40</v>
      </c>
      <c r="X42" s="45" t="str">
        <f t="shared" ref="X42:X50" si="10">F42&amp;H42</f>
        <v>D2-IDW-2-20.31</v>
      </c>
      <c r="Y42" s="6" t="s">
        <v>32</v>
      </c>
      <c r="Z42" s="29"/>
    </row>
    <row r="43" spans="1:26" s="25" customFormat="1" ht="24.95" customHeight="1">
      <c r="A43" s="12"/>
      <c r="B43" s="27">
        <v>45292</v>
      </c>
      <c r="C43" s="52" t="s">
        <v>51</v>
      </c>
      <c r="D43" s="6" t="s">
        <v>20</v>
      </c>
      <c r="E43" s="14" t="str">
        <f t="shared" si="4"/>
        <v>H2A</v>
      </c>
      <c r="F43" s="6" t="s">
        <v>52</v>
      </c>
      <c r="G43" s="15" t="s">
        <v>27</v>
      </c>
      <c r="H43" s="8">
        <v>0.25</v>
      </c>
      <c r="I43" s="6" t="s">
        <v>31</v>
      </c>
      <c r="J43" s="7" t="s">
        <v>213</v>
      </c>
      <c r="K43" s="53" t="s">
        <v>214</v>
      </c>
      <c r="L43" s="53" t="s">
        <v>216</v>
      </c>
      <c r="M43" s="4"/>
      <c r="N43" s="5" t="s">
        <v>148</v>
      </c>
      <c r="O43" s="13" t="s">
        <v>30</v>
      </c>
      <c r="P43" s="14">
        <v>2</v>
      </c>
      <c r="Q43" s="14">
        <v>1</v>
      </c>
      <c r="R43" s="9">
        <v>45295</v>
      </c>
      <c r="S43" s="18">
        <v>45313</v>
      </c>
      <c r="T43" s="6" t="s">
        <v>19</v>
      </c>
      <c r="U43" s="11">
        <v>1</v>
      </c>
      <c r="V43" s="10">
        <v>0</v>
      </c>
      <c r="W43" s="6" t="s">
        <v>40</v>
      </c>
      <c r="X43" s="45" t="str">
        <f t="shared" si="10"/>
        <v>D2IDW4-B-20.25</v>
      </c>
      <c r="Y43" s="6" t="s">
        <v>32</v>
      </c>
      <c r="Z43" s="29"/>
    </row>
    <row r="44" spans="1:26" s="25" customFormat="1" ht="24.95" customHeight="1">
      <c r="A44" s="12"/>
      <c r="B44" s="27">
        <v>45292</v>
      </c>
      <c r="C44" s="52" t="s">
        <v>51</v>
      </c>
      <c r="D44" s="6" t="s">
        <v>20</v>
      </c>
      <c r="E44" s="14" t="str">
        <f t="shared" si="4"/>
        <v>H1A</v>
      </c>
      <c r="F44" s="6" t="s">
        <v>52</v>
      </c>
      <c r="G44" s="3" t="s">
        <v>26</v>
      </c>
      <c r="H44" s="8">
        <v>0.26</v>
      </c>
      <c r="I44" s="6" t="s">
        <v>43</v>
      </c>
      <c r="J44" s="7" t="s">
        <v>53</v>
      </c>
      <c r="K44" s="53" t="s">
        <v>217</v>
      </c>
      <c r="L44" s="53" t="s">
        <v>218</v>
      </c>
      <c r="M44" s="4"/>
      <c r="N44" s="5" t="s">
        <v>219</v>
      </c>
      <c r="O44" s="13" t="s">
        <v>30</v>
      </c>
      <c r="P44" s="14" t="s">
        <v>220</v>
      </c>
      <c r="Q44" s="14">
        <v>3</v>
      </c>
      <c r="R44" s="9">
        <v>45306</v>
      </c>
      <c r="S44" s="18">
        <v>45313</v>
      </c>
      <c r="T44" s="6" t="s">
        <v>19</v>
      </c>
      <c r="U44" s="11">
        <v>3</v>
      </c>
      <c r="V44" s="10">
        <v>0</v>
      </c>
      <c r="W44" s="6" t="s">
        <v>40</v>
      </c>
      <c r="X44" s="45" t="str">
        <f t="shared" si="10"/>
        <v>D2IDW4-B-20.26</v>
      </c>
      <c r="Y44" s="6" t="s">
        <v>32</v>
      </c>
      <c r="Z44" s="29"/>
    </row>
    <row r="45" spans="1:26" s="25" customFormat="1" ht="24.95" customHeight="1">
      <c r="A45" s="12"/>
      <c r="B45" s="27">
        <v>45292</v>
      </c>
      <c r="C45" s="52" t="s">
        <v>51</v>
      </c>
      <c r="D45" s="6" t="s">
        <v>20</v>
      </c>
      <c r="E45" s="14" t="str">
        <f t="shared" si="4"/>
        <v>H1B</v>
      </c>
      <c r="F45" s="6" t="s">
        <v>52</v>
      </c>
      <c r="G45" s="3" t="s">
        <v>26</v>
      </c>
      <c r="H45" s="8">
        <v>0.26</v>
      </c>
      <c r="I45" s="6" t="s">
        <v>43</v>
      </c>
      <c r="J45" s="7" t="s">
        <v>221</v>
      </c>
      <c r="K45" s="53" t="s">
        <v>222</v>
      </c>
      <c r="L45" s="53" t="s">
        <v>223</v>
      </c>
      <c r="M45" s="4"/>
      <c r="N45" s="5" t="s">
        <v>224</v>
      </c>
      <c r="O45" s="13" t="s">
        <v>29</v>
      </c>
      <c r="P45" s="14">
        <v>3</v>
      </c>
      <c r="Q45" s="14">
        <v>1</v>
      </c>
      <c r="R45" s="9">
        <v>45308</v>
      </c>
      <c r="S45" s="18">
        <v>45313</v>
      </c>
      <c r="T45" s="6" t="s">
        <v>19</v>
      </c>
      <c r="U45" s="11">
        <v>1</v>
      </c>
      <c r="V45" s="10">
        <v>0</v>
      </c>
      <c r="W45" s="6" t="s">
        <v>40</v>
      </c>
      <c r="X45" s="45" t="str">
        <f t="shared" si="10"/>
        <v>D2IDW4-B-20.26</v>
      </c>
      <c r="Y45" s="6" t="s">
        <v>32</v>
      </c>
      <c r="Z45" s="29"/>
    </row>
    <row r="46" spans="1:26" s="25" customFormat="1" ht="24.95" customHeight="1">
      <c r="A46" s="12"/>
      <c r="B46" s="27">
        <v>45292</v>
      </c>
      <c r="C46" s="52" t="s">
        <v>51</v>
      </c>
      <c r="D46" s="6" t="s">
        <v>20</v>
      </c>
      <c r="E46" s="14" t="str">
        <f t="shared" si="4"/>
        <v>H1B</v>
      </c>
      <c r="F46" s="6" t="s">
        <v>52</v>
      </c>
      <c r="G46" s="3" t="s">
        <v>26</v>
      </c>
      <c r="H46" s="8">
        <v>0.26</v>
      </c>
      <c r="I46" s="6" t="s">
        <v>43</v>
      </c>
      <c r="J46" s="7" t="s">
        <v>221</v>
      </c>
      <c r="K46" s="53" t="s">
        <v>222</v>
      </c>
      <c r="L46" s="53" t="s">
        <v>225</v>
      </c>
      <c r="M46" s="4"/>
      <c r="N46" s="5" t="s">
        <v>226</v>
      </c>
      <c r="O46" s="13" t="s">
        <v>30</v>
      </c>
      <c r="P46" s="14">
        <v>3</v>
      </c>
      <c r="Q46" s="14">
        <v>1</v>
      </c>
      <c r="R46" s="9">
        <v>45306</v>
      </c>
      <c r="S46" s="18">
        <v>45313</v>
      </c>
      <c r="T46" s="6" t="s">
        <v>19</v>
      </c>
      <c r="U46" s="11">
        <v>1</v>
      </c>
      <c r="V46" s="10">
        <v>0</v>
      </c>
      <c r="W46" s="6" t="s">
        <v>40</v>
      </c>
      <c r="X46" s="45" t="str">
        <f t="shared" si="10"/>
        <v>D2IDW4-B-20.26</v>
      </c>
      <c r="Y46" s="6" t="s">
        <v>32</v>
      </c>
      <c r="Z46" s="29"/>
    </row>
    <row r="47" spans="1:26" s="25" customFormat="1" ht="24.95" customHeight="1">
      <c r="A47" s="12"/>
      <c r="B47" s="27">
        <v>45292</v>
      </c>
      <c r="C47" s="52" t="s">
        <v>51</v>
      </c>
      <c r="D47" s="6" t="s">
        <v>20</v>
      </c>
      <c r="E47" s="14" t="str">
        <f t="shared" si="4"/>
        <v>H1B</v>
      </c>
      <c r="F47" s="6" t="s">
        <v>52</v>
      </c>
      <c r="G47" s="3" t="s">
        <v>26</v>
      </c>
      <c r="H47" s="8">
        <v>0.26</v>
      </c>
      <c r="I47" s="6" t="s">
        <v>43</v>
      </c>
      <c r="J47" s="7" t="s">
        <v>53</v>
      </c>
      <c r="K47" s="53" t="s">
        <v>227</v>
      </c>
      <c r="L47" s="53" t="s">
        <v>228</v>
      </c>
      <c r="M47" s="4"/>
      <c r="N47" s="5" t="s">
        <v>229</v>
      </c>
      <c r="O47" s="13" t="s">
        <v>30</v>
      </c>
      <c r="P47" s="14">
        <v>4</v>
      </c>
      <c r="Q47" s="14">
        <v>1</v>
      </c>
      <c r="R47" s="9">
        <v>45308</v>
      </c>
      <c r="S47" s="18">
        <v>45313</v>
      </c>
      <c r="T47" s="6" t="s">
        <v>19</v>
      </c>
      <c r="U47" s="11">
        <v>1</v>
      </c>
      <c r="V47" s="10">
        <v>0</v>
      </c>
      <c r="W47" s="6" t="s">
        <v>40</v>
      </c>
      <c r="X47" s="45" t="str">
        <f t="shared" si="10"/>
        <v>D2IDW4-B-20.26</v>
      </c>
      <c r="Y47" s="6" t="s">
        <v>32</v>
      </c>
      <c r="Z47" s="29"/>
    </row>
    <row r="48" spans="1:26" s="25" customFormat="1" ht="24.95" customHeight="1">
      <c r="A48" s="12"/>
      <c r="B48" s="27">
        <v>45292</v>
      </c>
      <c r="C48" s="52" t="s">
        <v>51</v>
      </c>
      <c r="D48" s="6" t="s">
        <v>20</v>
      </c>
      <c r="E48" s="14" t="str">
        <f t="shared" si="4"/>
        <v>H2A</v>
      </c>
      <c r="F48" s="6" t="s">
        <v>52</v>
      </c>
      <c r="G48" s="3" t="s">
        <v>26</v>
      </c>
      <c r="H48" s="8">
        <v>0.26</v>
      </c>
      <c r="I48" s="6" t="s">
        <v>31</v>
      </c>
      <c r="J48" s="7" t="s">
        <v>299</v>
      </c>
      <c r="K48" s="53" t="s">
        <v>61</v>
      </c>
      <c r="L48" s="53" t="s">
        <v>230</v>
      </c>
      <c r="M48" s="4"/>
      <c r="N48" s="5" t="s">
        <v>231</v>
      </c>
      <c r="O48" s="13" t="s">
        <v>30</v>
      </c>
      <c r="P48" s="14">
        <v>4</v>
      </c>
      <c r="Q48" s="14">
        <v>1</v>
      </c>
      <c r="R48" s="9">
        <v>45308</v>
      </c>
      <c r="S48" s="18">
        <v>45313</v>
      </c>
      <c r="T48" s="6" t="s">
        <v>19</v>
      </c>
      <c r="U48" s="11">
        <v>1</v>
      </c>
      <c r="V48" s="10">
        <v>0</v>
      </c>
      <c r="W48" s="6" t="s">
        <v>40</v>
      </c>
      <c r="X48" s="45" t="str">
        <f t="shared" si="10"/>
        <v>D2IDW4-B-20.26</v>
      </c>
      <c r="Y48" s="6" t="s">
        <v>32</v>
      </c>
      <c r="Z48" s="29"/>
    </row>
    <row r="49" spans="1:26" s="25" customFormat="1" ht="24.95" customHeight="1">
      <c r="A49" s="12"/>
      <c r="B49" s="27">
        <v>45292</v>
      </c>
      <c r="C49" s="52" t="s">
        <v>51</v>
      </c>
      <c r="D49" s="6" t="s">
        <v>20</v>
      </c>
      <c r="E49" s="14" t="str">
        <f>IF(B49="","",LEFT(N49,3))</f>
        <v>H1A</v>
      </c>
      <c r="F49" s="6" t="s">
        <v>52</v>
      </c>
      <c r="G49" s="3" t="s">
        <v>26</v>
      </c>
      <c r="H49" s="8">
        <v>0.26</v>
      </c>
      <c r="I49" s="6" t="s">
        <v>43</v>
      </c>
      <c r="J49" s="7" t="s">
        <v>53</v>
      </c>
      <c r="K49" s="53" t="s">
        <v>222</v>
      </c>
      <c r="L49" s="53" t="s">
        <v>225</v>
      </c>
      <c r="M49" s="4"/>
      <c r="N49" s="5" t="s">
        <v>232</v>
      </c>
      <c r="O49" s="13" t="s">
        <v>30</v>
      </c>
      <c r="P49" s="14">
        <v>5</v>
      </c>
      <c r="Q49" s="14">
        <v>1</v>
      </c>
      <c r="R49" s="9">
        <v>45308</v>
      </c>
      <c r="S49" s="18">
        <v>45313</v>
      </c>
      <c r="T49" s="6" t="s">
        <v>19</v>
      </c>
      <c r="U49" s="11">
        <v>1</v>
      </c>
      <c r="V49" s="10">
        <v>0</v>
      </c>
      <c r="W49" s="6" t="s">
        <v>40</v>
      </c>
      <c r="X49" s="45" t="str">
        <f t="shared" si="10"/>
        <v>D2IDW4-B-20.26</v>
      </c>
      <c r="Y49" s="6" t="s">
        <v>32</v>
      </c>
      <c r="Z49" s="29"/>
    </row>
    <row r="50" spans="1:26" s="25" customFormat="1" ht="24.95" customHeight="1">
      <c r="A50" s="12">
        <v>9</v>
      </c>
      <c r="B50" s="27">
        <v>45292</v>
      </c>
      <c r="C50" s="52" t="s">
        <v>51</v>
      </c>
      <c r="D50" s="6" t="s">
        <v>20</v>
      </c>
      <c r="E50" s="14" t="str">
        <f>IF(B12="","",LEFT(N50,3))</f>
        <v>H1A</v>
      </c>
      <c r="F50" s="6" t="s">
        <v>52</v>
      </c>
      <c r="G50" s="3" t="s">
        <v>26</v>
      </c>
      <c r="H50" s="8">
        <v>0.26</v>
      </c>
      <c r="I50" s="6" t="s">
        <v>43</v>
      </c>
      <c r="J50" s="21" t="s">
        <v>233</v>
      </c>
      <c r="K50" s="21"/>
      <c r="L50" s="21" t="s">
        <v>234</v>
      </c>
      <c r="M50" s="30"/>
      <c r="N50" s="22" t="s">
        <v>235</v>
      </c>
      <c r="O50" s="23" t="s">
        <v>30</v>
      </c>
      <c r="P50" s="86">
        <v>2</v>
      </c>
      <c r="Q50" s="86">
        <v>1</v>
      </c>
      <c r="R50" s="32">
        <v>45306</v>
      </c>
      <c r="S50" s="56">
        <v>45313</v>
      </c>
      <c r="T50" s="22" t="s">
        <v>19</v>
      </c>
      <c r="U50" s="33">
        <v>1</v>
      </c>
      <c r="V50" s="34">
        <v>0</v>
      </c>
      <c r="W50" s="22" t="s">
        <v>40</v>
      </c>
      <c r="X50" s="45" t="str">
        <f t="shared" si="10"/>
        <v>D2IDW4-B-20.26</v>
      </c>
      <c r="Y50" s="22" t="s">
        <v>32</v>
      </c>
      <c r="Z50" s="35"/>
    </row>
    <row r="51" spans="1:26" s="25" customFormat="1" ht="24.95" customHeight="1">
      <c r="A51" s="12">
        <v>10</v>
      </c>
      <c r="B51" s="27">
        <v>45292</v>
      </c>
      <c r="C51" s="52" t="s">
        <v>51</v>
      </c>
      <c r="D51" s="6" t="s">
        <v>20</v>
      </c>
      <c r="E51" s="14" t="str">
        <f t="shared" si="4"/>
        <v>H1B</v>
      </c>
      <c r="F51" s="6" t="s">
        <v>52</v>
      </c>
      <c r="G51" s="3" t="s">
        <v>26</v>
      </c>
      <c r="H51" s="8">
        <v>0.26</v>
      </c>
      <c r="I51" s="6" t="s">
        <v>43</v>
      </c>
      <c r="J51" s="21" t="s">
        <v>221</v>
      </c>
      <c r="K51" s="21" t="s">
        <v>236</v>
      </c>
      <c r="L51" s="21" t="s">
        <v>237</v>
      </c>
      <c r="M51" s="30"/>
      <c r="N51" s="22" t="s">
        <v>229</v>
      </c>
      <c r="O51" s="23" t="s">
        <v>30</v>
      </c>
      <c r="P51" s="45">
        <v>3</v>
      </c>
      <c r="Q51" s="86">
        <v>1</v>
      </c>
      <c r="R51" s="32">
        <v>45309</v>
      </c>
      <c r="S51" s="56">
        <v>45313</v>
      </c>
      <c r="T51" s="22" t="s">
        <v>19</v>
      </c>
      <c r="U51" s="33">
        <v>1</v>
      </c>
      <c r="V51" s="34">
        <v>0</v>
      </c>
      <c r="W51" s="22" t="s">
        <v>40</v>
      </c>
      <c r="X51" s="45" t="str">
        <f t="shared" ref="X51:X56" si="11">F51&amp;H51</f>
        <v>D2IDW4-B-20.26</v>
      </c>
      <c r="Y51" s="22" t="s">
        <v>32</v>
      </c>
      <c r="Z51" s="35"/>
    </row>
    <row r="52" spans="1:26" s="25" customFormat="1" ht="24.95" customHeight="1">
      <c r="A52" s="12">
        <v>11</v>
      </c>
      <c r="B52" s="27">
        <v>45292</v>
      </c>
      <c r="C52" s="52" t="s">
        <v>51</v>
      </c>
      <c r="D52" s="6" t="s">
        <v>20</v>
      </c>
      <c r="E52" s="14" t="str">
        <f t="shared" si="4"/>
        <v>H1B</v>
      </c>
      <c r="F52" s="6" t="s">
        <v>52</v>
      </c>
      <c r="G52" s="3" t="s">
        <v>26</v>
      </c>
      <c r="H52" s="8">
        <v>0.26</v>
      </c>
      <c r="I52" s="6" t="s">
        <v>43</v>
      </c>
      <c r="J52" s="21" t="s">
        <v>221</v>
      </c>
      <c r="K52" s="21" t="s">
        <v>222</v>
      </c>
      <c r="L52" s="21" t="s">
        <v>238</v>
      </c>
      <c r="M52" s="30"/>
      <c r="N52" s="22" t="s">
        <v>239</v>
      </c>
      <c r="O52" s="23" t="s">
        <v>30</v>
      </c>
      <c r="P52" s="45">
        <v>3</v>
      </c>
      <c r="Q52" s="86">
        <v>1</v>
      </c>
      <c r="R52" s="32">
        <v>45309</v>
      </c>
      <c r="S52" s="56">
        <v>45313</v>
      </c>
      <c r="T52" s="22" t="s">
        <v>19</v>
      </c>
      <c r="U52" s="33">
        <v>1</v>
      </c>
      <c r="V52" s="34">
        <v>0</v>
      </c>
      <c r="W52" s="22" t="s">
        <v>40</v>
      </c>
      <c r="X52" s="45" t="str">
        <f t="shared" si="11"/>
        <v>D2IDW4-B-20.26</v>
      </c>
      <c r="Y52" s="22" t="s">
        <v>32</v>
      </c>
      <c r="Z52" s="35"/>
    </row>
    <row r="53" spans="1:26" s="25" customFormat="1" ht="24.95" customHeight="1">
      <c r="A53" s="12">
        <v>12</v>
      </c>
      <c r="B53" s="27">
        <v>45292</v>
      </c>
      <c r="C53" s="52" t="s">
        <v>51</v>
      </c>
      <c r="D53" s="6" t="s">
        <v>20</v>
      </c>
      <c r="E53" s="14" t="str">
        <f t="shared" si="4"/>
        <v>H1A</v>
      </c>
      <c r="F53" s="6" t="s">
        <v>52</v>
      </c>
      <c r="G53" s="15" t="s">
        <v>27</v>
      </c>
      <c r="H53" s="31">
        <v>0.26</v>
      </c>
      <c r="I53" s="6" t="s">
        <v>43</v>
      </c>
      <c r="J53" s="21" t="s">
        <v>244</v>
      </c>
      <c r="K53" s="21" t="s">
        <v>245</v>
      </c>
      <c r="L53" s="21" t="s">
        <v>246</v>
      </c>
      <c r="M53" s="30"/>
      <c r="N53" s="22" t="s">
        <v>247</v>
      </c>
      <c r="O53" s="23" t="s">
        <v>176</v>
      </c>
      <c r="P53" s="45">
        <v>5</v>
      </c>
      <c r="Q53" s="86">
        <v>7</v>
      </c>
      <c r="R53" s="32">
        <v>45313</v>
      </c>
      <c r="S53" s="56">
        <v>45316</v>
      </c>
      <c r="T53" s="22" t="s">
        <v>19</v>
      </c>
      <c r="U53" s="33">
        <v>7</v>
      </c>
      <c r="V53" s="34">
        <v>0</v>
      </c>
      <c r="W53" s="22" t="s">
        <v>40</v>
      </c>
      <c r="X53" s="45" t="str">
        <f t="shared" si="11"/>
        <v>D2IDW4-B-20.26</v>
      </c>
      <c r="Y53" s="22" t="s">
        <v>32</v>
      </c>
      <c r="Z53" s="35"/>
    </row>
    <row r="54" spans="1:26" s="25" customFormat="1" ht="24.95" customHeight="1">
      <c r="A54" s="12">
        <v>13</v>
      </c>
      <c r="B54" s="27">
        <v>45292</v>
      </c>
      <c r="C54" s="52" t="s">
        <v>51</v>
      </c>
      <c r="D54" s="6" t="s">
        <v>20</v>
      </c>
      <c r="E54" s="14" t="str">
        <f t="shared" si="4"/>
        <v>H1B</v>
      </c>
      <c r="F54" s="22" t="s">
        <v>52</v>
      </c>
      <c r="G54" s="3" t="s">
        <v>26</v>
      </c>
      <c r="H54" s="31">
        <v>0.26</v>
      </c>
      <c r="I54" s="22" t="s">
        <v>43</v>
      </c>
      <c r="J54" s="21" t="s">
        <v>53</v>
      </c>
      <c r="K54" s="21" t="s">
        <v>264</v>
      </c>
      <c r="L54" s="21" t="s">
        <v>230</v>
      </c>
      <c r="M54" s="30"/>
      <c r="N54" s="22" t="s">
        <v>265</v>
      </c>
      <c r="O54" s="23" t="s">
        <v>30</v>
      </c>
      <c r="P54" s="86">
        <v>4</v>
      </c>
      <c r="Q54" s="86">
        <v>1</v>
      </c>
      <c r="R54" s="32">
        <v>45313</v>
      </c>
      <c r="S54" s="56">
        <v>45320</v>
      </c>
      <c r="T54" s="22" t="s">
        <v>19</v>
      </c>
      <c r="U54" s="36">
        <v>1</v>
      </c>
      <c r="V54" s="34">
        <v>0</v>
      </c>
      <c r="W54" s="22" t="s">
        <v>40</v>
      </c>
      <c r="X54" s="45" t="str">
        <f t="shared" si="11"/>
        <v>D2IDW4-B-20.26</v>
      </c>
      <c r="Y54" s="22" t="s">
        <v>32</v>
      </c>
      <c r="Z54" s="35"/>
    </row>
    <row r="55" spans="1:26" s="25" customFormat="1" ht="24.95" customHeight="1">
      <c r="A55" s="12">
        <v>14</v>
      </c>
      <c r="B55" s="27">
        <v>45292</v>
      </c>
      <c r="C55" s="52" t="s">
        <v>51</v>
      </c>
      <c r="D55" s="6" t="s">
        <v>20</v>
      </c>
      <c r="E55" s="14" t="str">
        <f t="shared" si="4"/>
        <v>H1B</v>
      </c>
      <c r="F55" s="22" t="s">
        <v>52</v>
      </c>
      <c r="G55" s="3" t="s">
        <v>26</v>
      </c>
      <c r="H55" s="31">
        <v>0.26</v>
      </c>
      <c r="I55" s="22" t="s">
        <v>43</v>
      </c>
      <c r="J55" s="21" t="s">
        <v>221</v>
      </c>
      <c r="K55" s="21" t="s">
        <v>222</v>
      </c>
      <c r="L55" s="21" t="s">
        <v>266</v>
      </c>
      <c r="M55" s="30"/>
      <c r="N55" s="22" t="s">
        <v>239</v>
      </c>
      <c r="O55" s="23" t="s">
        <v>29</v>
      </c>
      <c r="P55" s="45">
        <v>3</v>
      </c>
      <c r="Q55" s="86">
        <v>1</v>
      </c>
      <c r="R55" s="32">
        <v>45645</v>
      </c>
      <c r="S55" s="56">
        <v>45320</v>
      </c>
      <c r="T55" s="22" t="s">
        <v>19</v>
      </c>
      <c r="U55" s="33">
        <v>1</v>
      </c>
      <c r="V55" s="34">
        <v>0</v>
      </c>
      <c r="W55" s="22" t="s">
        <v>40</v>
      </c>
      <c r="X55" s="45" t="str">
        <f t="shared" si="11"/>
        <v>D2IDW4-B-20.26</v>
      </c>
      <c r="Y55" s="22" t="s">
        <v>32</v>
      </c>
      <c r="Z55" s="35"/>
    </row>
    <row r="56" spans="1:26" s="25" customFormat="1" ht="24.95" customHeight="1">
      <c r="A56" s="12">
        <v>15</v>
      </c>
      <c r="B56" s="27">
        <v>45292</v>
      </c>
      <c r="C56" s="52" t="s">
        <v>51</v>
      </c>
      <c r="D56" s="6" t="s">
        <v>20</v>
      </c>
      <c r="E56" s="14" t="str">
        <f t="shared" si="4"/>
        <v>H1A</v>
      </c>
      <c r="F56" s="22" t="s">
        <v>52</v>
      </c>
      <c r="G56" s="3" t="s">
        <v>26</v>
      </c>
      <c r="H56" s="31">
        <v>0.26</v>
      </c>
      <c r="I56" s="22" t="s">
        <v>43</v>
      </c>
      <c r="J56" s="21" t="s">
        <v>274</v>
      </c>
      <c r="K56" s="21" t="s">
        <v>275</v>
      </c>
      <c r="L56" s="21" t="s">
        <v>276</v>
      </c>
      <c r="M56" s="30"/>
      <c r="N56" s="22" t="s">
        <v>277</v>
      </c>
      <c r="O56" s="23" t="s">
        <v>30</v>
      </c>
      <c r="P56" s="45">
        <v>3</v>
      </c>
      <c r="Q56" s="86">
        <v>1</v>
      </c>
      <c r="R56" s="54">
        <v>45299</v>
      </c>
      <c r="S56" s="56">
        <v>45320</v>
      </c>
      <c r="T56" s="22" t="s">
        <v>19</v>
      </c>
      <c r="U56" s="33">
        <v>1</v>
      </c>
      <c r="V56" s="34">
        <v>0</v>
      </c>
      <c r="W56" s="22" t="s">
        <v>40</v>
      </c>
      <c r="X56" s="45" t="str">
        <f t="shared" si="11"/>
        <v>D2IDW4-B-20.26</v>
      </c>
      <c r="Y56" s="22" t="s">
        <v>32</v>
      </c>
      <c r="Z56" s="35"/>
    </row>
    <row r="57" spans="1:26" s="25" customFormat="1" ht="24.95" customHeight="1">
      <c r="A57" s="39">
        <v>16</v>
      </c>
      <c r="B57" s="117">
        <v>45292</v>
      </c>
      <c r="C57" s="118" t="s">
        <v>51</v>
      </c>
      <c r="D57" s="22" t="s">
        <v>20</v>
      </c>
      <c r="E57" s="45" t="str">
        <f t="shared" si="4"/>
        <v>H2A</v>
      </c>
      <c r="F57" s="22" t="s">
        <v>285</v>
      </c>
      <c r="G57" s="3" t="s">
        <v>26</v>
      </c>
      <c r="H57" s="31">
        <v>0.4</v>
      </c>
      <c r="I57" s="22" t="s">
        <v>286</v>
      </c>
      <c r="J57" s="21" t="s">
        <v>287</v>
      </c>
      <c r="K57" s="21"/>
      <c r="L57" s="55" t="s">
        <v>57</v>
      </c>
      <c r="M57" s="30"/>
      <c r="N57" s="22" t="s">
        <v>288</v>
      </c>
      <c r="O57" s="23" t="s">
        <v>289</v>
      </c>
      <c r="P57" s="23" t="s">
        <v>606</v>
      </c>
      <c r="Q57" s="86">
        <v>8</v>
      </c>
      <c r="R57" s="32">
        <v>45313</v>
      </c>
      <c r="S57" s="56">
        <v>45322</v>
      </c>
      <c r="T57" s="22" t="s">
        <v>19</v>
      </c>
      <c r="U57" s="33">
        <v>8</v>
      </c>
      <c r="V57" s="24">
        <v>0</v>
      </c>
      <c r="W57" s="22" t="s">
        <v>40</v>
      </c>
      <c r="X57" s="45" t="str">
        <f t="shared" si="3"/>
        <v>1-UTZ0.4</v>
      </c>
      <c r="Y57" s="22" t="s">
        <v>32</v>
      </c>
      <c r="Z57" s="35"/>
    </row>
    <row r="58" spans="1:26" s="25" customFormat="1" ht="24.95" customHeight="1">
      <c r="A58" s="12"/>
      <c r="B58" s="27">
        <v>45292</v>
      </c>
      <c r="C58" s="52" t="s">
        <v>51</v>
      </c>
      <c r="D58" s="6" t="s">
        <v>20</v>
      </c>
      <c r="E58" s="14" t="str">
        <f t="shared" si="4"/>
        <v>H2B</v>
      </c>
      <c r="F58" s="22" t="s">
        <v>52</v>
      </c>
      <c r="G58" s="15" t="s">
        <v>27</v>
      </c>
      <c r="H58" s="31">
        <v>0.31</v>
      </c>
      <c r="I58" s="22" t="s">
        <v>31</v>
      </c>
      <c r="J58" s="21" t="s">
        <v>290</v>
      </c>
      <c r="K58" s="21" t="s">
        <v>291</v>
      </c>
      <c r="L58" s="55" t="s">
        <v>292</v>
      </c>
      <c r="M58" s="30"/>
      <c r="N58" s="22" t="s">
        <v>293</v>
      </c>
      <c r="O58" s="23" t="s">
        <v>29</v>
      </c>
      <c r="P58" s="45">
        <v>4</v>
      </c>
      <c r="Q58" s="86">
        <v>1</v>
      </c>
      <c r="R58" s="32">
        <v>45308</v>
      </c>
      <c r="S58" s="56">
        <v>45322</v>
      </c>
      <c r="T58" s="22" t="s">
        <v>19</v>
      </c>
      <c r="U58" s="33">
        <v>1</v>
      </c>
      <c r="V58" s="24">
        <v>0</v>
      </c>
      <c r="W58" s="22" t="s">
        <v>40</v>
      </c>
      <c r="X58" s="45" t="str">
        <f t="shared" si="3"/>
        <v>D2IDW4-B-20.31</v>
      </c>
      <c r="Y58" s="22" t="s">
        <v>32</v>
      </c>
      <c r="Z58" s="35"/>
    </row>
    <row r="59" spans="1:26" s="25" customFormat="1" ht="24.95" customHeight="1">
      <c r="A59" s="12">
        <v>17</v>
      </c>
      <c r="B59" s="27">
        <v>45292</v>
      </c>
      <c r="C59" s="52" t="s">
        <v>51</v>
      </c>
      <c r="D59" s="6" t="s">
        <v>20</v>
      </c>
      <c r="E59" s="14" t="str">
        <f t="shared" si="4"/>
        <v>H1B</v>
      </c>
      <c r="F59" s="22" t="s">
        <v>52</v>
      </c>
      <c r="G59" s="15" t="s">
        <v>27</v>
      </c>
      <c r="H59" s="31">
        <v>0.31</v>
      </c>
      <c r="I59" s="22" t="s">
        <v>43</v>
      </c>
      <c r="J59" s="21" t="s">
        <v>294</v>
      </c>
      <c r="K59" s="21" t="s">
        <v>295</v>
      </c>
      <c r="L59" s="55" t="s">
        <v>296</v>
      </c>
      <c r="M59" s="30"/>
      <c r="N59" s="22" t="s">
        <v>297</v>
      </c>
      <c r="O59" s="23" t="s">
        <v>30</v>
      </c>
      <c r="P59" s="45" t="s">
        <v>298</v>
      </c>
      <c r="Q59" s="86">
        <v>4</v>
      </c>
      <c r="R59" s="32">
        <v>45317</v>
      </c>
      <c r="S59" s="56">
        <v>45322</v>
      </c>
      <c r="T59" s="22" t="s">
        <v>19</v>
      </c>
      <c r="U59" s="33">
        <v>4</v>
      </c>
      <c r="V59" s="34">
        <v>0</v>
      </c>
      <c r="W59" s="22" t="s">
        <v>40</v>
      </c>
      <c r="X59" s="45" t="str">
        <f t="shared" si="3"/>
        <v>D2IDW4-B-20.31</v>
      </c>
      <c r="Y59" s="22" t="s">
        <v>32</v>
      </c>
      <c r="Z59" s="35"/>
    </row>
    <row r="60" spans="1:26" s="25" customFormat="1" ht="24.95" customHeight="1">
      <c r="A60" s="12">
        <v>18</v>
      </c>
      <c r="B60" s="27">
        <v>45292</v>
      </c>
      <c r="C60" s="52" t="s">
        <v>51</v>
      </c>
      <c r="D60" s="6" t="s">
        <v>20</v>
      </c>
      <c r="E60" s="14" t="str">
        <f t="shared" si="4"/>
        <v>H1B</v>
      </c>
      <c r="F60" s="22" t="s">
        <v>52</v>
      </c>
      <c r="G60" s="3" t="s">
        <v>26</v>
      </c>
      <c r="H60" s="31">
        <v>0.26</v>
      </c>
      <c r="I60" s="22" t="s">
        <v>43</v>
      </c>
      <c r="J60" s="21" t="s">
        <v>299</v>
      </c>
      <c r="K60" s="30"/>
      <c r="L60" s="21" t="s">
        <v>300</v>
      </c>
      <c r="M60" s="30"/>
      <c r="N60" s="22" t="s">
        <v>297</v>
      </c>
      <c r="O60" s="23" t="s">
        <v>30</v>
      </c>
      <c r="P60" s="86">
        <v>2</v>
      </c>
      <c r="Q60" s="86">
        <v>1</v>
      </c>
      <c r="R60" s="32">
        <v>45318</v>
      </c>
      <c r="S60" s="56">
        <v>45322</v>
      </c>
      <c r="T60" s="22" t="s">
        <v>19</v>
      </c>
      <c r="U60" s="36">
        <v>1</v>
      </c>
      <c r="V60" s="34">
        <v>0</v>
      </c>
      <c r="W60" s="22" t="s">
        <v>40</v>
      </c>
      <c r="X60" s="45" t="str">
        <f t="shared" si="3"/>
        <v>D2IDW4-B-20.26</v>
      </c>
      <c r="Y60" s="22" t="s">
        <v>32</v>
      </c>
      <c r="Z60" s="35"/>
    </row>
    <row r="61" spans="1:26" s="25" customFormat="1" ht="24.95" customHeight="1">
      <c r="A61" s="39">
        <v>19</v>
      </c>
      <c r="B61" s="27">
        <v>45292</v>
      </c>
      <c r="C61" s="52" t="s">
        <v>51</v>
      </c>
      <c r="D61" s="6" t="s">
        <v>20</v>
      </c>
      <c r="E61" s="14" t="str">
        <f t="shared" si="4"/>
        <v>H76</v>
      </c>
      <c r="F61" s="22" t="s">
        <v>301</v>
      </c>
      <c r="G61" s="3" t="s">
        <v>26</v>
      </c>
      <c r="H61" s="40">
        <v>0.19</v>
      </c>
      <c r="I61" s="22" t="s">
        <v>302</v>
      </c>
      <c r="J61" s="21" t="s">
        <v>221</v>
      </c>
      <c r="K61" s="21" t="s">
        <v>222</v>
      </c>
      <c r="L61" s="21" t="s">
        <v>303</v>
      </c>
      <c r="M61" s="37"/>
      <c r="N61" s="22" t="s">
        <v>304</v>
      </c>
      <c r="O61" s="23" t="s">
        <v>30</v>
      </c>
      <c r="P61" s="87">
        <v>13</v>
      </c>
      <c r="Q61" s="87">
        <v>1</v>
      </c>
      <c r="R61" s="41">
        <v>45319</v>
      </c>
      <c r="S61" s="56">
        <v>45322</v>
      </c>
      <c r="T61" s="22" t="s">
        <v>19</v>
      </c>
      <c r="U61" s="42">
        <v>1</v>
      </c>
      <c r="V61" s="43">
        <v>0</v>
      </c>
      <c r="W61" s="22" t="s">
        <v>40</v>
      </c>
      <c r="X61" s="45" t="str">
        <f t="shared" si="3"/>
        <v>2-AIW0.19</v>
      </c>
      <c r="Y61" s="22" t="s">
        <v>32</v>
      </c>
      <c r="Z61" s="38"/>
    </row>
    <row r="62" spans="1:26" s="25" customFormat="1" ht="24.95" customHeight="1">
      <c r="A62" s="39">
        <v>20</v>
      </c>
      <c r="B62" s="27">
        <v>45292</v>
      </c>
      <c r="C62" s="52" t="s">
        <v>51</v>
      </c>
      <c r="D62" s="6" t="s">
        <v>20</v>
      </c>
      <c r="E62" s="14" t="str">
        <f t="shared" si="4"/>
        <v>H2B</v>
      </c>
      <c r="F62" s="22" t="s">
        <v>305</v>
      </c>
      <c r="G62" s="3" t="s">
        <v>26</v>
      </c>
      <c r="H62" s="40">
        <v>0.25</v>
      </c>
      <c r="I62" s="22" t="s">
        <v>25</v>
      </c>
      <c r="J62" s="21" t="s">
        <v>306</v>
      </c>
      <c r="K62" s="21" t="s">
        <v>307</v>
      </c>
      <c r="L62" s="21" t="s">
        <v>308</v>
      </c>
      <c r="M62" s="37"/>
      <c r="N62" s="22" t="s">
        <v>309</v>
      </c>
      <c r="O62" s="23" t="s">
        <v>176</v>
      </c>
      <c r="P62" s="45" t="s">
        <v>310</v>
      </c>
      <c r="Q62" s="87">
        <v>2</v>
      </c>
      <c r="R62" s="41">
        <v>45319</v>
      </c>
      <c r="S62" s="56">
        <v>45322</v>
      </c>
      <c r="T62" s="22" t="s">
        <v>19</v>
      </c>
      <c r="U62" s="42">
        <v>2</v>
      </c>
      <c r="V62" s="43">
        <v>0</v>
      </c>
      <c r="W62" s="22" t="s">
        <v>40</v>
      </c>
      <c r="X62" s="45" t="str">
        <f t="shared" si="3"/>
        <v>2AIWP0.25</v>
      </c>
      <c r="Y62" s="22" t="s">
        <v>32</v>
      </c>
      <c r="Z62" s="38"/>
    </row>
    <row r="63" spans="1:26" s="25" customFormat="1" ht="24.95" customHeight="1">
      <c r="A63" s="39">
        <v>21</v>
      </c>
      <c r="B63" s="27">
        <v>45292</v>
      </c>
      <c r="C63" s="52" t="s">
        <v>51</v>
      </c>
      <c r="D63" s="6" t="s">
        <v>20</v>
      </c>
      <c r="E63" s="14" t="str">
        <f t="shared" si="4"/>
        <v>H1A</v>
      </c>
      <c r="F63" s="22" t="s">
        <v>52</v>
      </c>
      <c r="G63" s="3" t="s">
        <v>26</v>
      </c>
      <c r="H63" s="40">
        <v>0.26</v>
      </c>
      <c r="I63" s="22" t="s">
        <v>43</v>
      </c>
      <c r="J63" s="21" t="s">
        <v>287</v>
      </c>
      <c r="K63" s="21" t="s">
        <v>311</v>
      </c>
      <c r="L63" s="21" t="s">
        <v>312</v>
      </c>
      <c r="M63" s="37"/>
      <c r="N63" s="22" t="s">
        <v>313</v>
      </c>
      <c r="O63" s="23" t="s">
        <v>29</v>
      </c>
      <c r="P63" s="45" t="s">
        <v>256</v>
      </c>
      <c r="Q63" s="87">
        <v>1</v>
      </c>
      <c r="R63" s="41">
        <v>45319</v>
      </c>
      <c r="S63" s="56">
        <v>45322</v>
      </c>
      <c r="T63" s="22" t="s">
        <v>19</v>
      </c>
      <c r="U63" s="42">
        <v>1</v>
      </c>
      <c r="V63" s="43">
        <v>0</v>
      </c>
      <c r="W63" s="22" t="s">
        <v>40</v>
      </c>
      <c r="X63" s="45" t="str">
        <f t="shared" si="3"/>
        <v>D2IDW4-B-20.26</v>
      </c>
      <c r="Y63" s="22" t="s">
        <v>32</v>
      </c>
      <c r="Z63" s="38"/>
    </row>
    <row r="64" spans="1:26" s="25" customFormat="1" ht="24.95" customHeight="1">
      <c r="A64" s="39">
        <v>22</v>
      </c>
      <c r="B64" s="27">
        <v>45292</v>
      </c>
      <c r="C64" s="52" t="s">
        <v>51</v>
      </c>
      <c r="D64" s="6" t="s">
        <v>20</v>
      </c>
      <c r="E64" s="14" t="str">
        <f>IF(B63="","",LEFT(N64,3))</f>
        <v>H1A</v>
      </c>
      <c r="F64" s="22" t="s">
        <v>52</v>
      </c>
      <c r="G64" s="3" t="s">
        <v>26</v>
      </c>
      <c r="H64" s="40">
        <v>0.26</v>
      </c>
      <c r="I64" s="22" t="s">
        <v>43</v>
      </c>
      <c r="J64" s="21" t="s">
        <v>299</v>
      </c>
      <c r="K64" s="21" t="s">
        <v>314</v>
      </c>
      <c r="L64" s="21" t="s">
        <v>315</v>
      </c>
      <c r="M64" s="37"/>
      <c r="N64" s="22" t="s">
        <v>316</v>
      </c>
      <c r="O64" s="23" t="s">
        <v>30</v>
      </c>
      <c r="P64" s="87">
        <v>1</v>
      </c>
      <c r="Q64" s="87">
        <v>1</v>
      </c>
      <c r="R64" s="41">
        <v>45316</v>
      </c>
      <c r="S64" s="56">
        <v>45322</v>
      </c>
      <c r="T64" s="22" t="s">
        <v>19</v>
      </c>
      <c r="U64" s="42">
        <v>1</v>
      </c>
      <c r="V64" s="43">
        <v>0</v>
      </c>
      <c r="W64" s="22" t="s">
        <v>40</v>
      </c>
      <c r="X64" s="45" t="str">
        <f t="shared" si="3"/>
        <v>D2IDW4-B-20.26</v>
      </c>
      <c r="Y64" s="22" t="s">
        <v>32</v>
      </c>
      <c r="Z64" s="38"/>
    </row>
    <row r="65" spans="1:26" s="25" customFormat="1" ht="24.95" customHeight="1">
      <c r="A65" s="39"/>
      <c r="B65" s="27">
        <v>45292</v>
      </c>
      <c r="C65" s="52" t="s">
        <v>51</v>
      </c>
      <c r="D65" s="6" t="s">
        <v>20</v>
      </c>
      <c r="E65" s="14" t="str">
        <f>IF(B64="","",LEFT(N65,3))</f>
        <v>H1A</v>
      </c>
      <c r="F65" s="95" t="s">
        <v>52</v>
      </c>
      <c r="G65" s="3" t="s">
        <v>26</v>
      </c>
      <c r="H65" s="95">
        <v>0.26</v>
      </c>
      <c r="I65" s="59" t="s">
        <v>43</v>
      </c>
      <c r="J65" s="58" t="s">
        <v>221</v>
      </c>
      <c r="K65" s="58" t="s">
        <v>461</v>
      </c>
      <c r="L65" s="96" t="s">
        <v>462</v>
      </c>
      <c r="M65" s="58"/>
      <c r="N65" s="60" t="s">
        <v>463</v>
      </c>
      <c r="O65" s="60" t="s">
        <v>464</v>
      </c>
      <c r="P65" s="60" t="s">
        <v>465</v>
      </c>
      <c r="Q65" s="88">
        <v>2</v>
      </c>
      <c r="R65" s="66">
        <v>45322</v>
      </c>
      <c r="S65" s="54">
        <v>45338</v>
      </c>
      <c r="T65" s="59" t="s">
        <v>19</v>
      </c>
      <c r="U65" s="100">
        <v>2</v>
      </c>
      <c r="V65" s="97">
        <v>0</v>
      </c>
      <c r="W65" s="88" t="s">
        <v>40</v>
      </c>
      <c r="X65" s="95" t="str">
        <f t="shared" si="3"/>
        <v>D2IDW4-B-20.26</v>
      </c>
      <c r="Y65" s="59" t="s">
        <v>32</v>
      </c>
      <c r="Z65" s="38"/>
    </row>
    <row r="66" spans="1:26" s="25" customFormat="1" ht="24.95" customHeight="1">
      <c r="A66" s="39">
        <v>23</v>
      </c>
      <c r="B66" s="27">
        <v>45292</v>
      </c>
      <c r="C66" s="52" t="s">
        <v>51</v>
      </c>
      <c r="D66" s="6" t="s">
        <v>20</v>
      </c>
      <c r="E66" s="14" t="str">
        <f>IF(B64="","",LEFT(N66,3))</f>
        <v>H2B</v>
      </c>
      <c r="F66" s="22" t="s">
        <v>305</v>
      </c>
      <c r="G66" s="3" t="s">
        <v>26</v>
      </c>
      <c r="H66" s="40">
        <v>0.25</v>
      </c>
      <c r="I66" s="22" t="s">
        <v>25</v>
      </c>
      <c r="J66" s="21" t="s">
        <v>317</v>
      </c>
      <c r="K66" s="21" t="s">
        <v>318</v>
      </c>
      <c r="L66" s="21" t="s">
        <v>319</v>
      </c>
      <c r="M66" s="37"/>
      <c r="N66" s="22" t="s">
        <v>320</v>
      </c>
      <c r="O66" s="23" t="s">
        <v>176</v>
      </c>
      <c r="P66" s="87">
        <v>4</v>
      </c>
      <c r="Q66" s="87">
        <v>2</v>
      </c>
      <c r="R66" s="41">
        <v>45320</v>
      </c>
      <c r="S66" s="56">
        <v>45331</v>
      </c>
      <c r="T66" s="22" t="s">
        <v>19</v>
      </c>
      <c r="U66" s="42">
        <v>2</v>
      </c>
      <c r="V66" s="43">
        <v>0</v>
      </c>
      <c r="W66" s="22" t="s">
        <v>40</v>
      </c>
      <c r="X66" s="45" t="str">
        <f t="shared" si="3"/>
        <v>2AIWP0.25</v>
      </c>
      <c r="Y66" s="22" t="s">
        <v>32</v>
      </c>
      <c r="Z66" s="38"/>
    </row>
    <row r="67" spans="1:26" s="25" customFormat="1" ht="24.95" customHeight="1">
      <c r="A67" s="39"/>
      <c r="B67" s="27">
        <v>45292</v>
      </c>
      <c r="C67" s="52" t="s">
        <v>51</v>
      </c>
      <c r="D67" s="6" t="s">
        <v>20</v>
      </c>
      <c r="E67" s="14" t="str">
        <f>IF(B65="","",LEFT(N67,3))</f>
        <v>H1A</v>
      </c>
      <c r="F67" s="22" t="s">
        <v>52</v>
      </c>
      <c r="G67" s="3" t="s">
        <v>26</v>
      </c>
      <c r="H67" s="40">
        <v>0.26</v>
      </c>
      <c r="I67" s="22" t="s">
        <v>43</v>
      </c>
      <c r="J67" s="21" t="s">
        <v>221</v>
      </c>
      <c r="K67" s="21"/>
      <c r="L67" s="21" t="s">
        <v>466</v>
      </c>
      <c r="M67" s="37"/>
      <c r="N67" s="22" t="s">
        <v>463</v>
      </c>
      <c r="O67" s="23" t="s">
        <v>30</v>
      </c>
      <c r="P67" s="87">
        <v>3</v>
      </c>
      <c r="Q67" s="87">
        <v>1</v>
      </c>
      <c r="R67" s="41">
        <v>45322</v>
      </c>
      <c r="S67" s="56">
        <v>45338</v>
      </c>
      <c r="T67" s="22" t="s">
        <v>19</v>
      </c>
      <c r="U67" s="42">
        <v>1</v>
      </c>
      <c r="V67" s="43">
        <v>0</v>
      </c>
      <c r="W67" s="22" t="s">
        <v>40</v>
      </c>
      <c r="X67" s="45" t="str">
        <f>F67&amp;H67</f>
        <v>D2IDW4-B-20.26</v>
      </c>
      <c r="Y67" s="22" t="s">
        <v>32</v>
      </c>
      <c r="Z67" s="38"/>
    </row>
    <row r="68" spans="1:26" s="25" customFormat="1" ht="24.95" customHeight="1">
      <c r="A68" s="39">
        <v>24</v>
      </c>
      <c r="B68" s="27">
        <v>45323</v>
      </c>
      <c r="C68" s="103" t="s">
        <v>35</v>
      </c>
      <c r="D68" s="6" t="s">
        <v>20</v>
      </c>
      <c r="E68" s="14" t="str">
        <f>IF(B66="","",LEFT(N68,3))</f>
        <v>V6B</v>
      </c>
      <c r="F68" s="22" t="s">
        <v>165</v>
      </c>
      <c r="G68" s="15" t="s">
        <v>27</v>
      </c>
      <c r="H68" s="40">
        <v>1.65</v>
      </c>
      <c r="I68" s="22" t="s">
        <v>321</v>
      </c>
      <c r="J68" s="21" t="s">
        <v>322</v>
      </c>
      <c r="K68" s="21" t="s">
        <v>323</v>
      </c>
      <c r="L68" s="21" t="s">
        <v>60</v>
      </c>
      <c r="M68" s="37"/>
      <c r="N68" s="22" t="s">
        <v>324</v>
      </c>
      <c r="O68" s="23" t="s">
        <v>30</v>
      </c>
      <c r="P68" s="87">
        <v>1</v>
      </c>
      <c r="Q68" s="87">
        <v>1</v>
      </c>
      <c r="R68" s="41">
        <v>45334</v>
      </c>
      <c r="S68" s="56">
        <v>45337</v>
      </c>
      <c r="T68" s="22" t="s">
        <v>19</v>
      </c>
      <c r="U68" s="42">
        <v>1</v>
      </c>
      <c r="V68" s="43">
        <v>0</v>
      </c>
      <c r="W68" s="22" t="s">
        <v>40</v>
      </c>
      <c r="X68" s="45" t="str">
        <f t="shared" si="3"/>
        <v>2EIWAD-O1.65</v>
      </c>
      <c r="Y68" s="22" t="s">
        <v>32</v>
      </c>
      <c r="Z68" s="38"/>
    </row>
    <row r="69" spans="1:26" s="25" customFormat="1" ht="24.95" customHeight="1">
      <c r="A69" s="39">
        <v>25</v>
      </c>
      <c r="B69" s="27">
        <v>45323</v>
      </c>
      <c r="C69" s="12" t="s">
        <v>35</v>
      </c>
      <c r="D69" s="6" t="s">
        <v>20</v>
      </c>
      <c r="E69" s="14" t="str">
        <f t="shared" ref="E69:E71" si="12">IF(B68="","",LEFT(N69,3))</f>
        <v>V6B</v>
      </c>
      <c r="F69" s="22" t="s">
        <v>165</v>
      </c>
      <c r="G69" s="15" t="s">
        <v>27</v>
      </c>
      <c r="H69" s="40">
        <v>1.65</v>
      </c>
      <c r="I69" s="22" t="s">
        <v>321</v>
      </c>
      <c r="J69" s="21" t="s">
        <v>325</v>
      </c>
      <c r="K69" s="37"/>
      <c r="L69" s="21" t="s">
        <v>326</v>
      </c>
      <c r="M69" s="37"/>
      <c r="N69" s="22" t="s">
        <v>327</v>
      </c>
      <c r="O69" s="23" t="s">
        <v>30</v>
      </c>
      <c r="P69" s="45" t="s">
        <v>328</v>
      </c>
      <c r="Q69" s="87">
        <v>1</v>
      </c>
      <c r="R69" s="41">
        <v>45328</v>
      </c>
      <c r="S69" s="56">
        <v>45337</v>
      </c>
      <c r="T69" s="22" t="s">
        <v>19</v>
      </c>
      <c r="U69" s="42">
        <v>1</v>
      </c>
      <c r="V69" s="43">
        <v>0</v>
      </c>
      <c r="W69" s="22" t="s">
        <v>40</v>
      </c>
      <c r="X69" s="45" t="str">
        <f t="shared" si="3"/>
        <v>2EIWAD-O1.65</v>
      </c>
      <c r="Y69" s="22" t="s">
        <v>32</v>
      </c>
      <c r="Z69" s="38"/>
    </row>
    <row r="70" spans="1:26" s="25" customFormat="1" ht="24.95" customHeight="1">
      <c r="A70" s="39">
        <v>26</v>
      </c>
      <c r="B70" s="27">
        <v>45323</v>
      </c>
      <c r="C70" s="12" t="s">
        <v>35</v>
      </c>
      <c r="D70" s="6" t="s">
        <v>20</v>
      </c>
      <c r="E70" s="14" t="str">
        <f t="shared" si="12"/>
        <v>12A</v>
      </c>
      <c r="F70" s="22" t="s">
        <v>165</v>
      </c>
      <c r="G70" s="15" t="s">
        <v>27</v>
      </c>
      <c r="H70" s="40">
        <v>1.81</v>
      </c>
      <c r="I70" s="22" t="s">
        <v>329</v>
      </c>
      <c r="J70" s="21" t="s">
        <v>330</v>
      </c>
      <c r="K70" s="21" t="s">
        <v>331</v>
      </c>
      <c r="L70" s="21" t="s">
        <v>332</v>
      </c>
      <c r="M70" s="37"/>
      <c r="N70" s="22" t="s">
        <v>333</v>
      </c>
      <c r="O70" s="23" t="s">
        <v>29</v>
      </c>
      <c r="P70" s="45">
        <v>4</v>
      </c>
      <c r="Q70" s="87">
        <v>1</v>
      </c>
      <c r="R70" s="41">
        <v>45333</v>
      </c>
      <c r="S70" s="56">
        <v>45337</v>
      </c>
      <c r="T70" s="22" t="s">
        <v>19</v>
      </c>
      <c r="U70" s="42">
        <v>1</v>
      </c>
      <c r="V70" s="43">
        <v>0</v>
      </c>
      <c r="W70" s="22" t="s">
        <v>40</v>
      </c>
      <c r="X70" s="45" t="str">
        <f t="shared" si="3"/>
        <v>2EIWAD-O1.81</v>
      </c>
      <c r="Y70" s="22" t="s">
        <v>32</v>
      </c>
      <c r="Z70" s="38"/>
    </row>
    <row r="71" spans="1:26" s="25" customFormat="1" ht="24.95" customHeight="1">
      <c r="A71" s="39">
        <v>27</v>
      </c>
      <c r="B71" s="27">
        <v>45323</v>
      </c>
      <c r="C71" s="12" t="s">
        <v>35</v>
      </c>
      <c r="D71" s="6" t="s">
        <v>20</v>
      </c>
      <c r="E71" s="14" t="str">
        <f t="shared" si="12"/>
        <v>V6B</v>
      </c>
      <c r="F71" s="22" t="s">
        <v>165</v>
      </c>
      <c r="G71" s="15" t="s">
        <v>27</v>
      </c>
      <c r="H71" s="40">
        <v>1.65</v>
      </c>
      <c r="I71" s="22" t="s">
        <v>321</v>
      </c>
      <c r="J71" s="21" t="s">
        <v>323</v>
      </c>
      <c r="K71" s="37"/>
      <c r="L71" s="21" t="s">
        <v>60</v>
      </c>
      <c r="M71" s="37"/>
      <c r="N71" s="22" t="s">
        <v>334</v>
      </c>
      <c r="O71" s="23" t="s">
        <v>30</v>
      </c>
      <c r="P71" s="87">
        <v>1</v>
      </c>
      <c r="Q71" s="87">
        <v>1</v>
      </c>
      <c r="R71" s="41">
        <v>45334</v>
      </c>
      <c r="S71" s="56">
        <v>45337</v>
      </c>
      <c r="T71" s="22" t="s">
        <v>19</v>
      </c>
      <c r="U71" s="42">
        <v>1</v>
      </c>
      <c r="V71" s="43">
        <v>0</v>
      </c>
      <c r="W71" s="22" t="s">
        <v>40</v>
      </c>
      <c r="X71" s="45" t="str">
        <f t="shared" si="3"/>
        <v>2EIWAD-O1.65</v>
      </c>
      <c r="Y71" s="22" t="s">
        <v>32</v>
      </c>
      <c r="Z71" s="38"/>
    </row>
    <row r="72" spans="1:26" s="25" customFormat="1" ht="24.95" customHeight="1">
      <c r="A72" s="39">
        <v>28</v>
      </c>
      <c r="B72" s="27">
        <v>45323</v>
      </c>
      <c r="C72" s="12" t="s">
        <v>35</v>
      </c>
      <c r="D72" s="6" t="s">
        <v>20</v>
      </c>
      <c r="E72" s="14" t="str">
        <f>IF(B71="","",LEFT(N72,3))</f>
        <v>V6B</v>
      </c>
      <c r="F72" s="22" t="s">
        <v>165</v>
      </c>
      <c r="G72" s="15" t="s">
        <v>27</v>
      </c>
      <c r="H72" s="40">
        <v>1.65</v>
      </c>
      <c r="I72" s="22" t="s">
        <v>321</v>
      </c>
      <c r="J72" s="21" t="s">
        <v>335</v>
      </c>
      <c r="K72" s="53"/>
      <c r="L72" s="21" t="s">
        <v>60</v>
      </c>
      <c r="M72" s="37"/>
      <c r="N72" s="22" t="s">
        <v>336</v>
      </c>
      <c r="O72" s="23" t="s">
        <v>30</v>
      </c>
      <c r="P72" s="87">
        <v>6</v>
      </c>
      <c r="Q72" s="87">
        <v>1</v>
      </c>
      <c r="R72" s="41">
        <v>45331</v>
      </c>
      <c r="S72" s="56">
        <v>45337</v>
      </c>
      <c r="T72" s="22" t="s">
        <v>19</v>
      </c>
      <c r="U72" s="42">
        <v>1</v>
      </c>
      <c r="V72" s="43">
        <v>0</v>
      </c>
      <c r="W72" s="22" t="s">
        <v>40</v>
      </c>
      <c r="X72" s="45" t="str">
        <f t="shared" si="3"/>
        <v>2EIWAD-O1.65</v>
      </c>
      <c r="Y72" s="22" t="s">
        <v>32</v>
      </c>
      <c r="Z72" s="38"/>
    </row>
    <row r="73" spans="1:26" s="70" customFormat="1" ht="24.95" customHeight="1">
      <c r="A73" s="57"/>
      <c r="B73" s="27">
        <v>45323</v>
      </c>
      <c r="C73" s="12" t="s">
        <v>35</v>
      </c>
      <c r="D73" s="6" t="s">
        <v>20</v>
      </c>
      <c r="E73" s="14" t="str">
        <f t="shared" ref="E73:E160" si="13">IF(B72="","",LEFT(N73,3))</f>
        <v>V6B</v>
      </c>
      <c r="F73" s="22" t="s">
        <v>165</v>
      </c>
      <c r="G73" s="15" t="s">
        <v>27</v>
      </c>
      <c r="H73" s="40">
        <v>1.65</v>
      </c>
      <c r="I73" s="22" t="s">
        <v>321</v>
      </c>
      <c r="J73" s="21" t="s">
        <v>323</v>
      </c>
      <c r="K73" s="21" t="s">
        <v>335</v>
      </c>
      <c r="L73" s="21" t="s">
        <v>60</v>
      </c>
      <c r="M73" s="58"/>
      <c r="N73" s="59" t="s">
        <v>334</v>
      </c>
      <c r="O73" s="60" t="s">
        <v>29</v>
      </c>
      <c r="P73" s="88">
        <v>1</v>
      </c>
      <c r="Q73" s="88">
        <v>1</v>
      </c>
      <c r="R73" s="66">
        <v>45334</v>
      </c>
      <c r="S73" s="56">
        <v>45337</v>
      </c>
      <c r="T73" s="59" t="s">
        <v>19</v>
      </c>
      <c r="U73" s="67">
        <v>1</v>
      </c>
      <c r="V73" s="68">
        <v>0</v>
      </c>
      <c r="W73" s="59" t="s">
        <v>40</v>
      </c>
      <c r="X73" s="45" t="str">
        <f t="shared" si="3"/>
        <v>2EIWAD-O1.65</v>
      </c>
      <c r="Y73" s="59" t="s">
        <v>32</v>
      </c>
      <c r="Z73" s="69"/>
    </row>
    <row r="74" spans="1:26" s="70" customFormat="1" ht="24.95" customHeight="1">
      <c r="A74" s="57"/>
      <c r="B74" s="27">
        <v>45323</v>
      </c>
      <c r="C74" s="12" t="s">
        <v>35</v>
      </c>
      <c r="D74" s="6" t="s">
        <v>20</v>
      </c>
      <c r="E74" s="14" t="str">
        <f t="shared" si="13"/>
        <v>V6B</v>
      </c>
      <c r="F74" s="22" t="s">
        <v>165</v>
      </c>
      <c r="G74" s="15" t="s">
        <v>27</v>
      </c>
      <c r="H74" s="40">
        <v>1.65</v>
      </c>
      <c r="I74" s="22" t="s">
        <v>321</v>
      </c>
      <c r="J74" s="58" t="s">
        <v>337</v>
      </c>
      <c r="K74" s="58" t="s">
        <v>338</v>
      </c>
      <c r="L74" s="58" t="s">
        <v>339</v>
      </c>
      <c r="M74" s="58"/>
      <c r="N74" s="59" t="s">
        <v>340</v>
      </c>
      <c r="O74" s="60" t="s">
        <v>30</v>
      </c>
      <c r="P74" s="88">
        <v>6</v>
      </c>
      <c r="Q74" s="88">
        <v>1</v>
      </c>
      <c r="R74" s="66">
        <v>45333</v>
      </c>
      <c r="S74" s="56">
        <v>45337</v>
      </c>
      <c r="T74" s="59" t="s">
        <v>19</v>
      </c>
      <c r="U74" s="67">
        <v>1</v>
      </c>
      <c r="V74" s="68">
        <v>0</v>
      </c>
      <c r="W74" s="59" t="s">
        <v>40</v>
      </c>
      <c r="X74" s="45" t="str">
        <f t="shared" si="3"/>
        <v>2EIWAD-O1.65</v>
      </c>
      <c r="Y74" s="59" t="s">
        <v>32</v>
      </c>
      <c r="Z74" s="69"/>
    </row>
    <row r="75" spans="1:26" s="70" customFormat="1" ht="24.95" customHeight="1">
      <c r="A75" s="57"/>
      <c r="B75" s="27">
        <v>45323</v>
      </c>
      <c r="C75" s="12" t="s">
        <v>35</v>
      </c>
      <c r="D75" s="6" t="s">
        <v>20</v>
      </c>
      <c r="E75" s="14" t="str">
        <f t="shared" si="13"/>
        <v>V6B</v>
      </c>
      <c r="F75" s="22" t="s">
        <v>165</v>
      </c>
      <c r="G75" s="15" t="s">
        <v>27</v>
      </c>
      <c r="H75" s="40">
        <v>1.65</v>
      </c>
      <c r="I75" s="22" t="s">
        <v>321</v>
      </c>
      <c r="J75" s="21" t="s">
        <v>335</v>
      </c>
      <c r="K75" s="21" t="s">
        <v>335</v>
      </c>
      <c r="L75" s="58" t="s">
        <v>60</v>
      </c>
      <c r="M75" s="58"/>
      <c r="N75" s="59" t="s">
        <v>336</v>
      </c>
      <c r="O75" s="60" t="s">
        <v>29</v>
      </c>
      <c r="P75" s="88">
        <v>1</v>
      </c>
      <c r="Q75" s="88">
        <v>1</v>
      </c>
      <c r="R75" s="66">
        <v>45331</v>
      </c>
      <c r="S75" s="56">
        <v>45337</v>
      </c>
      <c r="T75" s="59" t="s">
        <v>19</v>
      </c>
      <c r="U75" s="67">
        <v>1</v>
      </c>
      <c r="V75" s="68">
        <v>0</v>
      </c>
      <c r="W75" s="59" t="s">
        <v>40</v>
      </c>
      <c r="X75" s="45" t="str">
        <f t="shared" si="3"/>
        <v>2EIWAD-O1.65</v>
      </c>
      <c r="Y75" s="59" t="s">
        <v>32</v>
      </c>
      <c r="Z75" s="69"/>
    </row>
    <row r="76" spans="1:26" s="70" customFormat="1" ht="24.95" customHeight="1">
      <c r="A76" s="57"/>
      <c r="B76" s="27">
        <v>45323</v>
      </c>
      <c r="C76" s="12" t="s">
        <v>35</v>
      </c>
      <c r="D76" s="6" t="s">
        <v>20</v>
      </c>
      <c r="E76" s="14" t="str">
        <f t="shared" si="13"/>
        <v>V6B</v>
      </c>
      <c r="F76" s="22" t="s">
        <v>165</v>
      </c>
      <c r="G76" s="15" t="s">
        <v>27</v>
      </c>
      <c r="H76" s="40">
        <v>1.65</v>
      </c>
      <c r="I76" s="22" t="s">
        <v>321</v>
      </c>
      <c r="J76" s="58" t="s">
        <v>341</v>
      </c>
      <c r="K76" s="21" t="s">
        <v>335</v>
      </c>
      <c r="L76" s="58" t="s">
        <v>342</v>
      </c>
      <c r="M76" s="58"/>
      <c r="N76" s="59" t="s">
        <v>336</v>
      </c>
      <c r="O76" s="60" t="s">
        <v>29</v>
      </c>
      <c r="P76" s="88">
        <v>4</v>
      </c>
      <c r="Q76" s="88">
        <v>1</v>
      </c>
      <c r="R76" s="66">
        <v>45331</v>
      </c>
      <c r="S76" s="56">
        <v>45337</v>
      </c>
      <c r="T76" s="59" t="s">
        <v>19</v>
      </c>
      <c r="U76" s="67">
        <v>1</v>
      </c>
      <c r="V76" s="68">
        <v>0</v>
      </c>
      <c r="W76" s="59" t="s">
        <v>40</v>
      </c>
      <c r="X76" s="45" t="str">
        <f t="shared" si="3"/>
        <v>2EIWAD-O1.65</v>
      </c>
      <c r="Y76" s="59" t="s">
        <v>32</v>
      </c>
      <c r="Z76" s="69"/>
    </row>
    <row r="77" spans="1:26" s="70" customFormat="1" ht="24.95" customHeight="1">
      <c r="A77" s="57"/>
      <c r="B77" s="27">
        <v>45323</v>
      </c>
      <c r="C77" s="12" t="s">
        <v>35</v>
      </c>
      <c r="D77" s="6" t="s">
        <v>20</v>
      </c>
      <c r="E77" s="14" t="str">
        <f t="shared" si="13"/>
        <v>V6B</v>
      </c>
      <c r="F77" s="22" t="s">
        <v>165</v>
      </c>
      <c r="G77" s="15" t="s">
        <v>27</v>
      </c>
      <c r="H77" s="40">
        <v>1.65</v>
      </c>
      <c r="I77" s="22" t="s">
        <v>321</v>
      </c>
      <c r="J77" s="21" t="s">
        <v>323</v>
      </c>
      <c r="K77" s="58"/>
      <c r="L77" s="58" t="s">
        <v>60</v>
      </c>
      <c r="M77" s="58"/>
      <c r="N77" s="59" t="s">
        <v>327</v>
      </c>
      <c r="O77" s="60" t="s">
        <v>29</v>
      </c>
      <c r="P77" s="88">
        <v>1</v>
      </c>
      <c r="Q77" s="88">
        <v>1</v>
      </c>
      <c r="R77" s="66">
        <v>45329</v>
      </c>
      <c r="S77" s="56">
        <v>45337</v>
      </c>
      <c r="T77" s="59" t="s">
        <v>19</v>
      </c>
      <c r="U77" s="67">
        <v>1</v>
      </c>
      <c r="V77" s="68">
        <v>0</v>
      </c>
      <c r="W77" s="59" t="s">
        <v>40</v>
      </c>
      <c r="X77" s="45" t="str">
        <f t="shared" ref="X77:X102" si="14">F77&amp;H77</f>
        <v>2EIWAD-O1.65</v>
      </c>
      <c r="Y77" s="59" t="s">
        <v>32</v>
      </c>
      <c r="Z77" s="69"/>
    </row>
    <row r="78" spans="1:26" s="70" customFormat="1" ht="24.95" customHeight="1">
      <c r="A78" s="57"/>
      <c r="B78" s="27">
        <v>45323</v>
      </c>
      <c r="C78" s="12" t="s">
        <v>35</v>
      </c>
      <c r="D78" s="6" t="s">
        <v>20</v>
      </c>
      <c r="E78" s="14" t="str">
        <f t="shared" si="13"/>
        <v>V6B</v>
      </c>
      <c r="F78" s="22" t="s">
        <v>165</v>
      </c>
      <c r="G78" s="15" t="s">
        <v>27</v>
      </c>
      <c r="H78" s="40">
        <v>1.65</v>
      </c>
      <c r="I78" s="22" t="s">
        <v>321</v>
      </c>
      <c r="J78" s="21" t="s">
        <v>323</v>
      </c>
      <c r="K78" s="58"/>
      <c r="L78" s="58" t="s">
        <v>60</v>
      </c>
      <c r="M78" s="58"/>
      <c r="N78" s="59" t="s">
        <v>336</v>
      </c>
      <c r="O78" s="60" t="s">
        <v>30</v>
      </c>
      <c r="P78" s="88">
        <v>1</v>
      </c>
      <c r="Q78" s="88">
        <v>1</v>
      </c>
      <c r="R78" s="66">
        <v>45330</v>
      </c>
      <c r="S78" s="56">
        <v>45337</v>
      </c>
      <c r="T78" s="59" t="s">
        <v>19</v>
      </c>
      <c r="U78" s="67">
        <v>1</v>
      </c>
      <c r="V78" s="68">
        <v>0</v>
      </c>
      <c r="W78" s="59" t="s">
        <v>40</v>
      </c>
      <c r="X78" s="45" t="str">
        <f t="shared" si="14"/>
        <v>2EIWAD-O1.65</v>
      </c>
      <c r="Y78" s="59" t="s">
        <v>32</v>
      </c>
      <c r="Z78" s="69"/>
    </row>
    <row r="79" spans="1:26" s="70" customFormat="1" ht="24.95" customHeight="1">
      <c r="A79" s="61"/>
      <c r="B79" s="27">
        <v>45323</v>
      </c>
      <c r="C79" s="12" t="s">
        <v>35</v>
      </c>
      <c r="D79" s="6" t="s">
        <v>20</v>
      </c>
      <c r="E79" s="14" t="str">
        <f t="shared" si="13"/>
        <v>V8A</v>
      </c>
      <c r="F79" s="64" t="s">
        <v>343</v>
      </c>
      <c r="G79" s="15" t="s">
        <v>27</v>
      </c>
      <c r="H79" s="73">
        <v>1.35</v>
      </c>
      <c r="I79" s="64" t="s">
        <v>25</v>
      </c>
      <c r="J79" s="63" t="s">
        <v>344</v>
      </c>
      <c r="K79" s="63"/>
      <c r="L79" s="58" t="s">
        <v>342</v>
      </c>
      <c r="M79" s="63"/>
      <c r="N79" s="64" t="s">
        <v>345</v>
      </c>
      <c r="O79" s="65" t="s">
        <v>30</v>
      </c>
      <c r="P79" s="62">
        <v>1</v>
      </c>
      <c r="Q79" s="62">
        <v>1</v>
      </c>
      <c r="R79" s="74">
        <v>45327</v>
      </c>
      <c r="S79" s="123">
        <v>45337</v>
      </c>
      <c r="T79" s="64" t="s">
        <v>19</v>
      </c>
      <c r="U79" s="76">
        <v>1</v>
      </c>
      <c r="V79" s="77">
        <v>0</v>
      </c>
      <c r="W79" s="64" t="s">
        <v>40</v>
      </c>
      <c r="X79" s="45" t="str">
        <f t="shared" si="14"/>
        <v>1AIWP1.35</v>
      </c>
      <c r="Y79" s="64" t="s">
        <v>32</v>
      </c>
      <c r="Z79" s="78"/>
    </row>
    <row r="80" spans="1:26" s="70" customFormat="1" ht="24.95" customHeight="1">
      <c r="A80" s="79">
        <v>45323</v>
      </c>
      <c r="B80" s="27">
        <v>45323</v>
      </c>
      <c r="C80" s="12" t="s">
        <v>35</v>
      </c>
      <c r="D80" s="6" t="s">
        <v>20</v>
      </c>
      <c r="E80" s="14" t="str">
        <f t="shared" si="13"/>
        <v>V9A</v>
      </c>
      <c r="F80" s="64" t="s">
        <v>23</v>
      </c>
      <c r="G80" s="15" t="s">
        <v>27</v>
      </c>
      <c r="H80" s="73">
        <v>0.95</v>
      </c>
      <c r="I80" s="64" t="s">
        <v>25</v>
      </c>
      <c r="J80" s="63" t="s">
        <v>346</v>
      </c>
      <c r="K80" s="63"/>
      <c r="L80" s="63" t="s">
        <v>347</v>
      </c>
      <c r="M80" s="63"/>
      <c r="N80" s="65" t="s">
        <v>348</v>
      </c>
      <c r="O80" s="65" t="s">
        <v>30</v>
      </c>
      <c r="P80" s="62" t="s">
        <v>349</v>
      </c>
      <c r="Q80" s="62">
        <v>7</v>
      </c>
      <c r="R80" s="75">
        <v>45328</v>
      </c>
      <c r="S80" s="124">
        <v>45337</v>
      </c>
      <c r="T80" s="64" t="s">
        <v>19</v>
      </c>
      <c r="U80" s="76">
        <v>7</v>
      </c>
      <c r="V80" s="77">
        <v>0</v>
      </c>
      <c r="W80" s="62" t="s">
        <v>40</v>
      </c>
      <c r="X80" s="45" t="str">
        <f t="shared" si="14"/>
        <v>0FBWSHC0.95</v>
      </c>
      <c r="Y80" s="64" t="s">
        <v>32</v>
      </c>
      <c r="Z80" s="78"/>
    </row>
    <row r="81" spans="1:26" s="70" customFormat="1" ht="24.95" customHeight="1">
      <c r="A81" s="79">
        <v>45323</v>
      </c>
      <c r="B81" s="27">
        <v>45323</v>
      </c>
      <c r="C81" s="12" t="s">
        <v>35</v>
      </c>
      <c r="D81" s="6" t="s">
        <v>20</v>
      </c>
      <c r="E81" s="14" t="str">
        <f t="shared" si="13"/>
        <v>12A</v>
      </c>
      <c r="F81" s="64" t="s">
        <v>165</v>
      </c>
      <c r="G81" s="3" t="s">
        <v>26</v>
      </c>
      <c r="H81" s="73">
        <v>1.81</v>
      </c>
      <c r="I81" s="64" t="s">
        <v>329</v>
      </c>
      <c r="J81" s="63" t="s">
        <v>350</v>
      </c>
      <c r="K81" s="63"/>
      <c r="L81" s="63"/>
      <c r="M81" s="63"/>
      <c r="N81" s="65" t="s">
        <v>351</v>
      </c>
      <c r="O81" s="65" t="s">
        <v>30</v>
      </c>
      <c r="P81" s="62">
        <v>4</v>
      </c>
      <c r="Q81" s="62">
        <v>1</v>
      </c>
      <c r="R81" s="75">
        <v>45328</v>
      </c>
      <c r="S81" s="124">
        <v>45331</v>
      </c>
      <c r="T81" s="64" t="s">
        <v>19</v>
      </c>
      <c r="U81" s="76">
        <v>1</v>
      </c>
      <c r="V81" s="77">
        <v>0</v>
      </c>
      <c r="W81" s="62" t="s">
        <v>40</v>
      </c>
      <c r="X81" s="45" t="str">
        <f t="shared" si="14"/>
        <v>2EIWAD-O1.81</v>
      </c>
      <c r="Y81" s="64" t="s">
        <v>32</v>
      </c>
      <c r="Z81" s="78"/>
    </row>
    <row r="82" spans="1:26" s="70" customFormat="1" ht="24.95" customHeight="1">
      <c r="A82" s="79">
        <v>45323</v>
      </c>
      <c r="B82" s="27">
        <v>45323</v>
      </c>
      <c r="C82" s="12" t="s">
        <v>35</v>
      </c>
      <c r="D82" s="6" t="s">
        <v>20</v>
      </c>
      <c r="E82" s="14" t="str">
        <f t="shared" si="13"/>
        <v>V9B</v>
      </c>
      <c r="F82" s="64" t="s">
        <v>23</v>
      </c>
      <c r="G82" s="3" t="s">
        <v>26</v>
      </c>
      <c r="H82" s="73">
        <v>1.2</v>
      </c>
      <c r="I82" s="64" t="s">
        <v>25</v>
      </c>
      <c r="J82" s="63" t="s">
        <v>44</v>
      </c>
      <c r="K82" s="63"/>
      <c r="L82" s="63"/>
      <c r="M82" s="63"/>
      <c r="N82" s="65" t="s">
        <v>352</v>
      </c>
      <c r="O82" s="65" t="s">
        <v>29</v>
      </c>
      <c r="P82" s="62">
        <v>5</v>
      </c>
      <c r="Q82" s="62">
        <v>1</v>
      </c>
      <c r="R82" s="75">
        <v>45329</v>
      </c>
      <c r="S82" s="124">
        <v>45331</v>
      </c>
      <c r="T82" s="64" t="s">
        <v>19</v>
      </c>
      <c r="U82" s="76">
        <v>0</v>
      </c>
      <c r="V82" s="77">
        <v>1</v>
      </c>
      <c r="W82" s="62" t="s">
        <v>40</v>
      </c>
      <c r="X82" s="45" t="str">
        <f t="shared" si="14"/>
        <v>0FBWSHC1.2</v>
      </c>
      <c r="Y82" s="64" t="s">
        <v>182</v>
      </c>
      <c r="Z82" s="78"/>
    </row>
    <row r="83" spans="1:26" s="70" customFormat="1" ht="24.95" customHeight="1">
      <c r="A83" s="79">
        <v>45323</v>
      </c>
      <c r="B83" s="27">
        <v>45323</v>
      </c>
      <c r="C83" s="12" t="s">
        <v>35</v>
      </c>
      <c r="D83" s="6" t="s">
        <v>20</v>
      </c>
      <c r="E83" s="14" t="str">
        <f t="shared" si="13"/>
        <v>V9A</v>
      </c>
      <c r="F83" s="64" t="s">
        <v>23</v>
      </c>
      <c r="G83" s="3" t="s">
        <v>26</v>
      </c>
      <c r="H83" s="73">
        <v>0.95</v>
      </c>
      <c r="I83" s="64" t="s">
        <v>25</v>
      </c>
      <c r="J83" s="63" t="s">
        <v>353</v>
      </c>
      <c r="K83" s="63"/>
      <c r="L83" s="63"/>
      <c r="M83" s="63"/>
      <c r="N83" s="65" t="s">
        <v>354</v>
      </c>
      <c r="O83" s="65" t="s">
        <v>30</v>
      </c>
      <c r="P83" s="62">
        <v>7</v>
      </c>
      <c r="Q83" s="62">
        <v>1</v>
      </c>
      <c r="R83" s="75">
        <v>45325</v>
      </c>
      <c r="S83" s="124">
        <v>45331</v>
      </c>
      <c r="T83" s="64" t="s">
        <v>19</v>
      </c>
      <c r="U83" s="76">
        <v>1</v>
      </c>
      <c r="V83" s="77">
        <v>0</v>
      </c>
      <c r="W83" s="62" t="s">
        <v>40</v>
      </c>
      <c r="X83" s="45" t="str">
        <f t="shared" si="14"/>
        <v>0FBWSHC0.95</v>
      </c>
      <c r="Y83" s="64" t="s">
        <v>32</v>
      </c>
      <c r="Z83" s="78"/>
    </row>
    <row r="84" spans="1:26" s="70" customFormat="1" ht="24.95" customHeight="1">
      <c r="A84" s="79">
        <v>45323</v>
      </c>
      <c r="B84" s="27">
        <v>45323</v>
      </c>
      <c r="C84" s="12" t="s">
        <v>35</v>
      </c>
      <c r="D84" s="6" t="s">
        <v>20</v>
      </c>
      <c r="E84" s="14" t="str">
        <f t="shared" si="13"/>
        <v>12A</v>
      </c>
      <c r="F84" s="64" t="s">
        <v>165</v>
      </c>
      <c r="G84" s="3" t="s">
        <v>26</v>
      </c>
      <c r="H84" s="73">
        <v>1.81</v>
      </c>
      <c r="I84" s="64" t="s">
        <v>329</v>
      </c>
      <c r="J84" s="63" t="s">
        <v>287</v>
      </c>
      <c r="K84" s="63"/>
      <c r="L84" s="63" t="s">
        <v>355</v>
      </c>
      <c r="M84" s="63"/>
      <c r="N84" s="65" t="s">
        <v>333</v>
      </c>
      <c r="O84" s="65" t="s">
        <v>30</v>
      </c>
      <c r="P84" s="62">
        <v>1.4</v>
      </c>
      <c r="Q84" s="62">
        <v>2</v>
      </c>
      <c r="R84" s="75">
        <v>45333</v>
      </c>
      <c r="S84" s="124">
        <v>45335</v>
      </c>
      <c r="T84" s="64" t="s">
        <v>19</v>
      </c>
      <c r="U84" s="76">
        <v>2</v>
      </c>
      <c r="V84" s="77">
        <v>0</v>
      </c>
      <c r="W84" s="62" t="s">
        <v>40</v>
      </c>
      <c r="X84" s="45" t="str">
        <f t="shared" si="14"/>
        <v>2EIWAD-O1.81</v>
      </c>
      <c r="Y84" s="64" t="s">
        <v>32</v>
      </c>
      <c r="Z84" s="78"/>
    </row>
    <row r="85" spans="1:26" s="70" customFormat="1" ht="24.95" customHeight="1">
      <c r="A85" s="79">
        <v>45323</v>
      </c>
      <c r="B85" s="27">
        <v>45323</v>
      </c>
      <c r="C85" s="12" t="s">
        <v>35</v>
      </c>
      <c r="D85" s="6" t="s">
        <v>20</v>
      </c>
      <c r="E85" s="14" t="str">
        <f t="shared" si="13"/>
        <v>V9B</v>
      </c>
      <c r="F85" s="64" t="s">
        <v>23</v>
      </c>
      <c r="G85" s="3" t="s">
        <v>26</v>
      </c>
      <c r="H85" s="73">
        <v>1.2</v>
      </c>
      <c r="I85" s="64" t="s">
        <v>25</v>
      </c>
      <c r="J85" s="63" t="s">
        <v>356</v>
      </c>
      <c r="K85" s="63"/>
      <c r="L85" s="63" t="s">
        <v>59</v>
      </c>
      <c r="M85" s="63"/>
      <c r="N85" s="65" t="s">
        <v>357</v>
      </c>
      <c r="O85" s="65" t="s">
        <v>39</v>
      </c>
      <c r="P85" s="62">
        <v>6</v>
      </c>
      <c r="Q85" s="62">
        <v>1</v>
      </c>
      <c r="R85" s="75">
        <v>45333</v>
      </c>
      <c r="S85" s="124">
        <v>45335</v>
      </c>
      <c r="T85" s="64" t="s">
        <v>19</v>
      </c>
      <c r="U85" s="76">
        <v>1</v>
      </c>
      <c r="V85" s="77">
        <v>0</v>
      </c>
      <c r="W85" s="62" t="s">
        <v>40</v>
      </c>
      <c r="X85" s="45" t="str">
        <f t="shared" si="14"/>
        <v>0FBWSHC1.2</v>
      </c>
      <c r="Y85" s="64" t="s">
        <v>32</v>
      </c>
      <c r="Z85" s="78"/>
    </row>
    <row r="86" spans="1:26" s="70" customFormat="1" ht="24.95" customHeight="1">
      <c r="A86" s="79">
        <v>45323</v>
      </c>
      <c r="B86" s="27">
        <v>45323</v>
      </c>
      <c r="C86" s="12" t="s">
        <v>35</v>
      </c>
      <c r="D86" s="6" t="s">
        <v>20</v>
      </c>
      <c r="E86" s="14" t="str">
        <f t="shared" si="13"/>
        <v>V4A</v>
      </c>
      <c r="F86" s="64" t="s">
        <v>358</v>
      </c>
      <c r="G86" s="3" t="s">
        <v>26</v>
      </c>
      <c r="H86" s="73">
        <v>0.47</v>
      </c>
      <c r="I86" s="64" t="s">
        <v>359</v>
      </c>
      <c r="J86" s="63" t="s">
        <v>360</v>
      </c>
      <c r="K86" s="63"/>
      <c r="L86" s="63"/>
      <c r="M86" s="63"/>
      <c r="N86" s="65" t="s">
        <v>361</v>
      </c>
      <c r="O86" s="65" t="s">
        <v>39</v>
      </c>
      <c r="P86" s="62" t="s">
        <v>54</v>
      </c>
      <c r="Q86" s="62">
        <v>10</v>
      </c>
      <c r="R86" s="75">
        <v>45344</v>
      </c>
      <c r="S86" s="124">
        <v>45344</v>
      </c>
      <c r="T86" s="64" t="s">
        <v>19</v>
      </c>
      <c r="U86" s="76">
        <v>10</v>
      </c>
      <c r="V86" s="77">
        <v>0</v>
      </c>
      <c r="W86" s="62" t="s">
        <v>40</v>
      </c>
      <c r="X86" s="45" t="str">
        <f t="shared" si="14"/>
        <v>T3-EIWAD0.47</v>
      </c>
      <c r="Y86" s="64" t="s">
        <v>32</v>
      </c>
      <c r="Z86" s="78"/>
    </row>
    <row r="87" spans="1:26" s="70" customFormat="1" ht="24.95" customHeight="1">
      <c r="A87" s="79">
        <v>45323</v>
      </c>
      <c r="B87" s="27">
        <v>45323</v>
      </c>
      <c r="C87" s="12" t="s">
        <v>35</v>
      </c>
      <c r="D87" s="6" t="s">
        <v>20</v>
      </c>
      <c r="E87" s="14" t="str">
        <f t="shared" si="13"/>
        <v>VOB</v>
      </c>
      <c r="F87" s="64" t="s">
        <v>259</v>
      </c>
      <c r="G87" s="3" t="s">
        <v>26</v>
      </c>
      <c r="H87" s="73">
        <v>0.56000000000000005</v>
      </c>
      <c r="I87" s="64" t="s">
        <v>31</v>
      </c>
      <c r="J87" s="63" t="s">
        <v>360</v>
      </c>
      <c r="K87" s="63" t="s">
        <v>362</v>
      </c>
      <c r="L87" s="63" t="s">
        <v>363</v>
      </c>
      <c r="M87" s="63"/>
      <c r="N87" s="65" t="s">
        <v>364</v>
      </c>
      <c r="O87" s="65" t="s">
        <v>193</v>
      </c>
      <c r="P87" s="62" t="s">
        <v>365</v>
      </c>
      <c r="Q87" s="62">
        <v>10</v>
      </c>
      <c r="R87" s="75">
        <v>45344</v>
      </c>
      <c r="S87" s="124">
        <v>45344</v>
      </c>
      <c r="T87" s="64" t="s">
        <v>19</v>
      </c>
      <c r="U87" s="76">
        <v>10</v>
      </c>
      <c r="V87" s="77">
        <v>0</v>
      </c>
      <c r="W87" s="62" t="s">
        <v>40</v>
      </c>
      <c r="X87" s="45" t="str">
        <f t="shared" si="14"/>
        <v>D1-PEW-B-2T0.56</v>
      </c>
      <c r="Y87" s="64" t="s">
        <v>32</v>
      </c>
      <c r="Z87" s="78"/>
    </row>
    <row r="88" spans="1:26" s="70" customFormat="1" ht="24.95" customHeight="1">
      <c r="A88" s="79">
        <v>45323</v>
      </c>
      <c r="B88" s="27">
        <v>45323</v>
      </c>
      <c r="C88" s="12" t="s">
        <v>35</v>
      </c>
      <c r="D88" s="6" t="s">
        <v>20</v>
      </c>
      <c r="E88" s="14" t="str">
        <f t="shared" si="13"/>
        <v>V9A</v>
      </c>
      <c r="F88" s="64" t="s">
        <v>151</v>
      </c>
      <c r="G88" s="3" t="s">
        <v>26</v>
      </c>
      <c r="H88" s="73">
        <v>0.9</v>
      </c>
      <c r="I88" s="64" t="s">
        <v>31</v>
      </c>
      <c r="J88" s="63" t="s">
        <v>360</v>
      </c>
      <c r="K88" s="63"/>
      <c r="L88" s="63"/>
      <c r="M88" s="63"/>
      <c r="N88" s="65" t="s">
        <v>366</v>
      </c>
      <c r="O88" s="65" t="s">
        <v>39</v>
      </c>
      <c r="P88" s="62" t="s">
        <v>367</v>
      </c>
      <c r="Q88" s="62">
        <v>9</v>
      </c>
      <c r="R88" s="75">
        <v>45344</v>
      </c>
      <c r="S88" s="124">
        <v>45344</v>
      </c>
      <c r="T88" s="64" t="s">
        <v>19</v>
      </c>
      <c r="U88" s="76">
        <v>9</v>
      </c>
      <c r="V88" s="77">
        <v>0</v>
      </c>
      <c r="W88" s="62" t="s">
        <v>40</v>
      </c>
      <c r="X88" s="45" t="str">
        <f t="shared" si="14"/>
        <v>D1PEW-B-2Y0.9</v>
      </c>
      <c r="Y88" s="64" t="s">
        <v>32</v>
      </c>
      <c r="Z88" s="78"/>
    </row>
    <row r="89" spans="1:26" s="70" customFormat="1" ht="24.95" customHeight="1">
      <c r="A89" s="57"/>
      <c r="B89" s="27">
        <v>45323</v>
      </c>
      <c r="C89" s="12" t="s">
        <v>35</v>
      </c>
      <c r="D89" s="6" t="s">
        <v>20</v>
      </c>
      <c r="E89" s="14" t="str">
        <f t="shared" si="13"/>
        <v>VOA</v>
      </c>
      <c r="F89" s="64" t="s">
        <v>259</v>
      </c>
      <c r="G89" s="3" t="s">
        <v>26</v>
      </c>
      <c r="H89" s="73">
        <v>0.6</v>
      </c>
      <c r="I89" s="64" t="s">
        <v>31</v>
      </c>
      <c r="J89" s="63" t="s">
        <v>360</v>
      </c>
      <c r="K89" s="63" t="s">
        <v>368</v>
      </c>
      <c r="L89" s="63" t="s">
        <v>369</v>
      </c>
      <c r="M89" s="63"/>
      <c r="N89" s="65" t="s">
        <v>370</v>
      </c>
      <c r="O89" s="65" t="s">
        <v>371</v>
      </c>
      <c r="P89" s="62" t="s">
        <v>365</v>
      </c>
      <c r="Q89" s="62">
        <v>10</v>
      </c>
      <c r="R89" s="75">
        <v>45344</v>
      </c>
      <c r="S89" s="124">
        <v>45344</v>
      </c>
      <c r="T89" s="64" t="s">
        <v>19</v>
      </c>
      <c r="U89" s="76">
        <v>10</v>
      </c>
      <c r="V89" s="77">
        <v>0</v>
      </c>
      <c r="W89" s="62" t="s">
        <v>40</v>
      </c>
      <c r="X89" s="45" t="str">
        <f t="shared" si="14"/>
        <v>D1-PEW-B-2T0.6</v>
      </c>
      <c r="Y89" s="64" t="s">
        <v>32</v>
      </c>
      <c r="Z89" s="78"/>
    </row>
    <row r="90" spans="1:26" s="70" customFormat="1" ht="24.95" customHeight="1">
      <c r="A90" s="57"/>
      <c r="B90" s="27">
        <v>45323</v>
      </c>
      <c r="C90" s="12" t="s">
        <v>35</v>
      </c>
      <c r="D90" s="6" t="s">
        <v>20</v>
      </c>
      <c r="E90" s="14" t="str">
        <f t="shared" si="13"/>
        <v>V6B</v>
      </c>
      <c r="F90" s="64" t="s">
        <v>165</v>
      </c>
      <c r="G90" s="15" t="s">
        <v>27</v>
      </c>
      <c r="H90" s="73">
        <v>1.65</v>
      </c>
      <c r="I90" s="64" t="s">
        <v>321</v>
      </c>
      <c r="J90" s="63" t="s">
        <v>322</v>
      </c>
      <c r="K90" s="63" t="s">
        <v>372</v>
      </c>
      <c r="L90" s="63" t="s">
        <v>373</v>
      </c>
      <c r="M90" s="63"/>
      <c r="N90" s="65" t="s">
        <v>374</v>
      </c>
      <c r="O90" s="65" t="s">
        <v>30</v>
      </c>
      <c r="P90" s="62">
        <v>1</v>
      </c>
      <c r="Q90" s="62">
        <v>1</v>
      </c>
      <c r="R90" s="75">
        <v>45339</v>
      </c>
      <c r="S90" s="124">
        <v>45343</v>
      </c>
      <c r="T90" s="64" t="s">
        <v>19</v>
      </c>
      <c r="U90" s="76">
        <v>1</v>
      </c>
      <c r="V90" s="77">
        <v>0</v>
      </c>
      <c r="W90" s="62" t="s">
        <v>40</v>
      </c>
      <c r="X90" s="45" t="str">
        <f t="shared" si="14"/>
        <v>2EIWAD-O1.65</v>
      </c>
      <c r="Y90" s="64" t="s">
        <v>32</v>
      </c>
      <c r="Z90" s="78"/>
    </row>
    <row r="91" spans="1:26" s="70" customFormat="1" ht="24.95" customHeight="1">
      <c r="A91" s="57"/>
      <c r="B91" s="27">
        <v>45323</v>
      </c>
      <c r="C91" s="12" t="s">
        <v>35</v>
      </c>
      <c r="D91" s="6" t="s">
        <v>20</v>
      </c>
      <c r="E91" s="14" t="str">
        <f t="shared" si="13"/>
        <v>V6B</v>
      </c>
      <c r="F91" s="64" t="s">
        <v>165</v>
      </c>
      <c r="G91" s="15" t="s">
        <v>27</v>
      </c>
      <c r="H91" s="73">
        <v>1.65</v>
      </c>
      <c r="I91" s="64" t="s">
        <v>321</v>
      </c>
      <c r="J91" s="63" t="s">
        <v>323</v>
      </c>
      <c r="K91" s="63"/>
      <c r="L91" s="63" t="s">
        <v>60</v>
      </c>
      <c r="M91" s="63"/>
      <c r="N91" s="65" t="s">
        <v>375</v>
      </c>
      <c r="O91" s="65" t="s">
        <v>30</v>
      </c>
      <c r="P91" s="62">
        <v>1.6</v>
      </c>
      <c r="Q91" s="62">
        <v>2</v>
      </c>
      <c r="R91" s="75">
        <v>45336</v>
      </c>
      <c r="S91" s="124">
        <v>45343</v>
      </c>
      <c r="T91" s="64" t="s">
        <v>19</v>
      </c>
      <c r="U91" s="76">
        <v>2</v>
      </c>
      <c r="V91" s="77">
        <v>0</v>
      </c>
      <c r="W91" s="62" t="s">
        <v>40</v>
      </c>
      <c r="X91" s="45" t="str">
        <f t="shared" si="14"/>
        <v>2EIWAD-O1.65</v>
      </c>
      <c r="Y91" s="64" t="s">
        <v>32</v>
      </c>
      <c r="Z91" s="78"/>
    </row>
    <row r="92" spans="1:26" s="70" customFormat="1" ht="24.95" customHeight="1">
      <c r="A92" s="57"/>
      <c r="B92" s="27">
        <v>45323</v>
      </c>
      <c r="C92" s="12" t="s">
        <v>35</v>
      </c>
      <c r="D92" s="6" t="s">
        <v>20</v>
      </c>
      <c r="E92" s="14" t="str">
        <f t="shared" si="13"/>
        <v>V6B</v>
      </c>
      <c r="F92" s="64" t="s">
        <v>165</v>
      </c>
      <c r="G92" s="15" t="s">
        <v>27</v>
      </c>
      <c r="H92" s="73">
        <v>1.65</v>
      </c>
      <c r="I92" s="64" t="s">
        <v>321</v>
      </c>
      <c r="J92" s="63" t="s">
        <v>372</v>
      </c>
      <c r="K92" s="63" t="s">
        <v>376</v>
      </c>
      <c r="L92" s="63" t="s">
        <v>377</v>
      </c>
      <c r="M92" s="63"/>
      <c r="N92" s="65" t="s">
        <v>374</v>
      </c>
      <c r="O92" s="65" t="s">
        <v>30</v>
      </c>
      <c r="P92" s="62">
        <v>6</v>
      </c>
      <c r="Q92" s="62">
        <v>1</v>
      </c>
      <c r="R92" s="75">
        <v>45339</v>
      </c>
      <c r="S92" s="124">
        <v>45343</v>
      </c>
      <c r="T92" s="64" t="s">
        <v>19</v>
      </c>
      <c r="U92" s="76">
        <v>1</v>
      </c>
      <c r="V92" s="77">
        <v>0</v>
      </c>
      <c r="W92" s="62" t="s">
        <v>40</v>
      </c>
      <c r="X92" s="45" t="str">
        <f t="shared" si="14"/>
        <v>2EIWAD-O1.65</v>
      </c>
      <c r="Y92" s="64" t="s">
        <v>32</v>
      </c>
      <c r="Z92" s="78"/>
    </row>
    <row r="93" spans="1:26" s="70" customFormat="1" ht="24.95" customHeight="1">
      <c r="A93" s="57"/>
      <c r="B93" s="27">
        <v>45323</v>
      </c>
      <c r="C93" s="12" t="s">
        <v>35</v>
      </c>
      <c r="D93" s="6" t="s">
        <v>20</v>
      </c>
      <c r="E93" s="14" t="str">
        <f t="shared" si="13"/>
        <v>V6B</v>
      </c>
      <c r="F93" s="64" t="s">
        <v>165</v>
      </c>
      <c r="G93" s="15" t="s">
        <v>27</v>
      </c>
      <c r="H93" s="73">
        <v>1.65</v>
      </c>
      <c r="I93" s="64" t="s">
        <v>321</v>
      </c>
      <c r="J93" s="63" t="s">
        <v>378</v>
      </c>
      <c r="K93" s="63"/>
      <c r="L93" s="63" t="s">
        <v>60</v>
      </c>
      <c r="M93" s="63"/>
      <c r="N93" s="65" t="s">
        <v>379</v>
      </c>
      <c r="O93" s="65" t="s">
        <v>29</v>
      </c>
      <c r="P93" s="62">
        <v>1</v>
      </c>
      <c r="Q93" s="62">
        <v>1</v>
      </c>
      <c r="R93" s="75">
        <v>45338</v>
      </c>
      <c r="S93" s="124">
        <v>45343</v>
      </c>
      <c r="T93" s="64" t="s">
        <v>19</v>
      </c>
      <c r="U93" s="76">
        <v>1</v>
      </c>
      <c r="V93" s="77">
        <v>0</v>
      </c>
      <c r="W93" s="62" t="s">
        <v>40</v>
      </c>
      <c r="X93" s="45" t="str">
        <f t="shared" si="14"/>
        <v>2EIWAD-O1.65</v>
      </c>
      <c r="Y93" s="64" t="s">
        <v>32</v>
      </c>
      <c r="Z93" s="78"/>
    </row>
    <row r="94" spans="1:26" s="70" customFormat="1" ht="24.95" customHeight="1">
      <c r="A94" s="57"/>
      <c r="B94" s="27">
        <v>45323</v>
      </c>
      <c r="C94" s="12" t="s">
        <v>35</v>
      </c>
      <c r="D94" s="6" t="s">
        <v>20</v>
      </c>
      <c r="E94" s="14" t="str">
        <f t="shared" si="13"/>
        <v>V6B</v>
      </c>
      <c r="F94" s="64" t="s">
        <v>165</v>
      </c>
      <c r="G94" s="15" t="s">
        <v>27</v>
      </c>
      <c r="H94" s="73">
        <v>1.65</v>
      </c>
      <c r="I94" s="64" t="s">
        <v>321</v>
      </c>
      <c r="J94" s="63" t="s">
        <v>322</v>
      </c>
      <c r="K94" s="63"/>
      <c r="L94" s="63" t="s">
        <v>380</v>
      </c>
      <c r="M94" s="63"/>
      <c r="N94" s="65" t="s">
        <v>381</v>
      </c>
      <c r="O94" s="65" t="s">
        <v>382</v>
      </c>
      <c r="P94" s="65" t="s">
        <v>390</v>
      </c>
      <c r="Q94" s="62">
        <v>2</v>
      </c>
      <c r="R94" s="75">
        <v>45340</v>
      </c>
      <c r="S94" s="124">
        <v>45343</v>
      </c>
      <c r="T94" s="64" t="s">
        <v>19</v>
      </c>
      <c r="U94" s="76">
        <v>2</v>
      </c>
      <c r="V94" s="77">
        <v>0</v>
      </c>
      <c r="W94" s="62" t="s">
        <v>40</v>
      </c>
      <c r="X94" s="45" t="str">
        <f t="shared" si="14"/>
        <v>2EIWAD-O1.65</v>
      </c>
      <c r="Y94" s="64" t="s">
        <v>32</v>
      </c>
      <c r="Z94" s="78"/>
    </row>
    <row r="95" spans="1:26" s="70" customFormat="1" ht="24.95" customHeight="1">
      <c r="A95" s="57"/>
      <c r="B95" s="27">
        <v>45323</v>
      </c>
      <c r="C95" s="12" t="s">
        <v>35</v>
      </c>
      <c r="D95" s="6" t="s">
        <v>20</v>
      </c>
      <c r="E95" s="14" t="str">
        <f t="shared" si="13"/>
        <v>V6B</v>
      </c>
      <c r="F95" s="64" t="s">
        <v>165</v>
      </c>
      <c r="G95" s="15" t="s">
        <v>27</v>
      </c>
      <c r="H95" s="73">
        <v>1.65</v>
      </c>
      <c r="I95" s="64" t="s">
        <v>321</v>
      </c>
      <c r="J95" s="63" t="s">
        <v>323</v>
      </c>
      <c r="K95" s="63"/>
      <c r="L95" s="63" t="s">
        <v>60</v>
      </c>
      <c r="M95" s="63"/>
      <c r="N95" s="65" t="s">
        <v>383</v>
      </c>
      <c r="O95" s="65" t="s">
        <v>30</v>
      </c>
      <c r="P95" s="62">
        <v>1</v>
      </c>
      <c r="Q95" s="62">
        <v>1</v>
      </c>
      <c r="R95" s="75">
        <v>45341</v>
      </c>
      <c r="S95" s="124">
        <v>45343</v>
      </c>
      <c r="T95" s="64" t="s">
        <v>19</v>
      </c>
      <c r="U95" s="76">
        <v>1</v>
      </c>
      <c r="V95" s="77">
        <v>0</v>
      </c>
      <c r="W95" s="62" t="s">
        <v>40</v>
      </c>
      <c r="X95" s="45" t="str">
        <f t="shared" si="14"/>
        <v>2EIWAD-O1.65</v>
      </c>
      <c r="Y95" s="64" t="s">
        <v>32</v>
      </c>
      <c r="Z95" s="78"/>
    </row>
    <row r="96" spans="1:26" s="70" customFormat="1" ht="24.95" customHeight="1">
      <c r="A96" s="57"/>
      <c r="B96" s="27">
        <v>45323</v>
      </c>
      <c r="C96" s="12" t="s">
        <v>35</v>
      </c>
      <c r="D96" s="6" t="s">
        <v>20</v>
      </c>
      <c r="E96" s="14" t="str">
        <f t="shared" si="13"/>
        <v>V6B</v>
      </c>
      <c r="F96" s="64" t="s">
        <v>165</v>
      </c>
      <c r="G96" s="15" t="s">
        <v>27</v>
      </c>
      <c r="H96" s="73">
        <v>1.65</v>
      </c>
      <c r="I96" s="64" t="s">
        <v>321</v>
      </c>
      <c r="J96" s="63" t="s">
        <v>323</v>
      </c>
      <c r="K96" s="63" t="s">
        <v>372</v>
      </c>
      <c r="L96" s="63" t="s">
        <v>373</v>
      </c>
      <c r="M96" s="63"/>
      <c r="N96" s="65" t="s">
        <v>384</v>
      </c>
      <c r="O96" s="65" t="s">
        <v>30</v>
      </c>
      <c r="P96" s="62">
        <v>1</v>
      </c>
      <c r="Q96" s="62">
        <v>1</v>
      </c>
      <c r="R96" s="75">
        <v>45342</v>
      </c>
      <c r="S96" s="124">
        <v>45343</v>
      </c>
      <c r="T96" s="64" t="s">
        <v>19</v>
      </c>
      <c r="U96" s="76">
        <v>1</v>
      </c>
      <c r="V96" s="77">
        <v>0</v>
      </c>
      <c r="W96" s="62" t="s">
        <v>40</v>
      </c>
      <c r="X96" s="45" t="str">
        <f t="shared" si="14"/>
        <v>2EIWAD-O1.65</v>
      </c>
      <c r="Y96" s="64" t="s">
        <v>32</v>
      </c>
      <c r="Z96" s="78"/>
    </row>
    <row r="97" spans="1:26" s="70" customFormat="1" ht="24.95" customHeight="1">
      <c r="A97" s="80"/>
      <c r="B97" s="71">
        <v>45323</v>
      </c>
      <c r="C97" s="72" t="s">
        <v>35</v>
      </c>
      <c r="D97" s="64" t="s">
        <v>20</v>
      </c>
      <c r="E97" s="14" t="str">
        <f t="shared" si="13"/>
        <v>V9B</v>
      </c>
      <c r="F97" s="73" t="s">
        <v>23</v>
      </c>
      <c r="G97" s="15" t="s">
        <v>27</v>
      </c>
      <c r="H97" s="73">
        <v>1.2</v>
      </c>
      <c r="I97" s="64" t="s">
        <v>25</v>
      </c>
      <c r="J97" s="63" t="s">
        <v>385</v>
      </c>
      <c r="K97" s="63" t="s">
        <v>385</v>
      </c>
      <c r="L97" s="63"/>
      <c r="M97" s="81"/>
      <c r="N97" s="64" t="s">
        <v>386</v>
      </c>
      <c r="O97" s="65" t="s">
        <v>30</v>
      </c>
      <c r="P97" s="62" t="s">
        <v>349</v>
      </c>
      <c r="Q97" s="89">
        <v>7</v>
      </c>
      <c r="R97" s="74">
        <v>45335</v>
      </c>
      <c r="S97" s="124">
        <v>45343</v>
      </c>
      <c r="T97" s="64" t="s">
        <v>19</v>
      </c>
      <c r="U97" s="76">
        <v>7</v>
      </c>
      <c r="V97" s="82">
        <v>0</v>
      </c>
      <c r="W97" s="62" t="s">
        <v>40</v>
      </c>
      <c r="X97" s="45" t="str">
        <f t="shared" si="14"/>
        <v>0FBWSHC1.2</v>
      </c>
      <c r="Y97" s="64" t="s">
        <v>32</v>
      </c>
      <c r="Z97" s="78"/>
    </row>
    <row r="98" spans="1:26" s="70" customFormat="1" ht="24.95" customHeight="1">
      <c r="A98" s="80"/>
      <c r="B98" s="71">
        <v>45323</v>
      </c>
      <c r="C98" s="72" t="s">
        <v>35</v>
      </c>
      <c r="D98" s="64" t="s">
        <v>20</v>
      </c>
      <c r="E98" s="14" t="str">
        <f t="shared" si="13"/>
        <v>V9A</v>
      </c>
      <c r="F98" s="73" t="s">
        <v>151</v>
      </c>
      <c r="G98" s="3" t="s">
        <v>26</v>
      </c>
      <c r="H98" s="73">
        <v>0.9</v>
      </c>
      <c r="I98" s="64" t="s">
        <v>31</v>
      </c>
      <c r="J98" s="63" t="s">
        <v>360</v>
      </c>
      <c r="K98" s="63"/>
      <c r="L98" s="63" t="s">
        <v>387</v>
      </c>
      <c r="M98" s="81"/>
      <c r="N98" s="64" t="s">
        <v>388</v>
      </c>
      <c r="O98" s="65" t="s">
        <v>198</v>
      </c>
      <c r="P98" s="65" t="s">
        <v>389</v>
      </c>
      <c r="Q98" s="89">
        <v>18</v>
      </c>
      <c r="R98" s="74">
        <v>45342</v>
      </c>
      <c r="S98" s="124">
        <v>45343</v>
      </c>
      <c r="T98" s="64" t="s">
        <v>19</v>
      </c>
      <c r="U98" s="76">
        <v>18</v>
      </c>
      <c r="V98" s="82">
        <v>0</v>
      </c>
      <c r="W98" s="62" t="s">
        <v>40</v>
      </c>
      <c r="X98" s="45" t="str">
        <f t="shared" si="14"/>
        <v>D1PEW-B-2Y0.9</v>
      </c>
      <c r="Y98" s="64" t="s">
        <v>32</v>
      </c>
      <c r="Z98" s="78"/>
    </row>
    <row r="99" spans="1:26" s="70" customFormat="1" ht="24.95" customHeight="1">
      <c r="A99" s="80"/>
      <c r="B99" s="71">
        <v>45323</v>
      </c>
      <c r="C99" s="72" t="s">
        <v>35</v>
      </c>
      <c r="D99" s="64" t="s">
        <v>20</v>
      </c>
      <c r="E99" s="14" t="str">
        <f t="shared" si="13"/>
        <v>V4B</v>
      </c>
      <c r="F99" s="73" t="s">
        <v>200</v>
      </c>
      <c r="G99" s="15" t="s">
        <v>27</v>
      </c>
      <c r="H99" s="73">
        <v>0.44</v>
      </c>
      <c r="I99" s="64" t="s">
        <v>31</v>
      </c>
      <c r="J99" s="63" t="s">
        <v>391</v>
      </c>
      <c r="K99" s="63" t="s">
        <v>385</v>
      </c>
      <c r="L99" s="63" t="s">
        <v>392</v>
      </c>
      <c r="M99" s="81"/>
      <c r="N99" s="64" t="s">
        <v>393</v>
      </c>
      <c r="O99" s="65" t="s">
        <v>29</v>
      </c>
      <c r="P99" s="62" t="s">
        <v>54</v>
      </c>
      <c r="Q99" s="89">
        <v>10</v>
      </c>
      <c r="R99" s="74">
        <v>45335</v>
      </c>
      <c r="S99" s="124">
        <v>45343</v>
      </c>
      <c r="T99" s="64" t="s">
        <v>19</v>
      </c>
      <c r="U99" s="76">
        <v>10</v>
      </c>
      <c r="V99" s="82">
        <v>0</v>
      </c>
      <c r="W99" s="62" t="s">
        <v>40</v>
      </c>
      <c r="X99" s="45" t="str">
        <f t="shared" si="14"/>
        <v>D2IDW-4-B-20.44</v>
      </c>
      <c r="Y99" s="64" t="s">
        <v>32</v>
      </c>
      <c r="Z99" s="78"/>
    </row>
    <row r="100" spans="1:26" s="70" customFormat="1" ht="24.95" customHeight="1">
      <c r="A100" s="80"/>
      <c r="B100" s="71">
        <v>45323</v>
      </c>
      <c r="C100" s="72" t="s">
        <v>35</v>
      </c>
      <c r="D100" s="64" t="s">
        <v>20</v>
      </c>
      <c r="E100" s="14" t="str">
        <f t="shared" si="13"/>
        <v>11B</v>
      </c>
      <c r="F100" s="73" t="s">
        <v>24</v>
      </c>
      <c r="G100" s="15" t="s">
        <v>27</v>
      </c>
      <c r="H100" s="73">
        <v>0.85</v>
      </c>
      <c r="I100" s="64" t="s">
        <v>28</v>
      </c>
      <c r="J100" s="63" t="s">
        <v>394</v>
      </c>
      <c r="K100" s="63" t="s">
        <v>385</v>
      </c>
      <c r="L100" s="63" t="s">
        <v>395</v>
      </c>
      <c r="M100" s="81"/>
      <c r="N100" s="64" t="s">
        <v>396</v>
      </c>
      <c r="O100" s="65" t="s">
        <v>39</v>
      </c>
      <c r="P100" s="62" t="s">
        <v>38</v>
      </c>
      <c r="Q100" s="89">
        <v>5</v>
      </c>
      <c r="R100" s="74">
        <v>45335</v>
      </c>
      <c r="S100" s="124">
        <v>45341</v>
      </c>
      <c r="T100" s="64" t="s">
        <v>19</v>
      </c>
      <c r="U100" s="76">
        <v>5</v>
      </c>
      <c r="V100" s="82">
        <v>0</v>
      </c>
      <c r="W100" s="62" t="s">
        <v>40</v>
      </c>
      <c r="X100" s="45" t="str">
        <f t="shared" si="14"/>
        <v>2PEW0.85</v>
      </c>
      <c r="Y100" s="64" t="s">
        <v>32</v>
      </c>
      <c r="Z100" s="78"/>
    </row>
    <row r="101" spans="1:26" s="70" customFormat="1" ht="24.95" customHeight="1">
      <c r="A101" s="80"/>
      <c r="B101" s="71">
        <v>45323</v>
      </c>
      <c r="C101" s="72" t="s">
        <v>35</v>
      </c>
      <c r="D101" s="64" t="s">
        <v>20</v>
      </c>
      <c r="E101" s="14" t="str">
        <f t="shared" si="13"/>
        <v>11A</v>
      </c>
      <c r="F101" s="73" t="s">
        <v>251</v>
      </c>
      <c r="G101" s="15" t="s">
        <v>27</v>
      </c>
      <c r="H101" s="73">
        <v>0.83</v>
      </c>
      <c r="I101" s="64" t="s">
        <v>252</v>
      </c>
      <c r="J101" s="63" t="s">
        <v>397</v>
      </c>
      <c r="K101" s="63" t="s">
        <v>385</v>
      </c>
      <c r="L101" s="63" t="s">
        <v>392</v>
      </c>
      <c r="M101" s="81"/>
      <c r="N101" s="64" t="s">
        <v>398</v>
      </c>
      <c r="O101" s="65" t="s">
        <v>30</v>
      </c>
      <c r="P101" s="62" t="s">
        <v>399</v>
      </c>
      <c r="Q101" s="89">
        <v>5</v>
      </c>
      <c r="R101" s="74">
        <v>45335</v>
      </c>
      <c r="S101" s="124">
        <v>45341</v>
      </c>
      <c r="T101" s="64" t="s">
        <v>19</v>
      </c>
      <c r="U101" s="76">
        <v>5</v>
      </c>
      <c r="V101" s="82">
        <v>0</v>
      </c>
      <c r="W101" s="62" t="s">
        <v>40</v>
      </c>
      <c r="X101" s="93" t="str">
        <f t="shared" si="14"/>
        <v>D2-IDW-4E0.83</v>
      </c>
      <c r="Y101" s="59" t="s">
        <v>32</v>
      </c>
      <c r="Z101" s="78"/>
    </row>
    <row r="102" spans="1:26" s="70" customFormat="1" ht="24.95" customHeight="1">
      <c r="A102" s="80"/>
      <c r="B102" s="71">
        <v>45323</v>
      </c>
      <c r="C102" s="72" t="s">
        <v>35</v>
      </c>
      <c r="D102" s="64" t="s">
        <v>20</v>
      </c>
      <c r="E102" s="14" t="str">
        <f t="shared" si="13"/>
        <v>V9B</v>
      </c>
      <c r="F102" s="73" t="s">
        <v>151</v>
      </c>
      <c r="G102" s="3" t="s">
        <v>26</v>
      </c>
      <c r="H102" s="73">
        <v>0.9</v>
      </c>
      <c r="I102" s="64" t="s">
        <v>31</v>
      </c>
      <c r="J102" s="63" t="s">
        <v>400</v>
      </c>
      <c r="K102" s="63"/>
      <c r="L102" s="63"/>
      <c r="M102" s="81"/>
      <c r="N102" s="64" t="s">
        <v>401</v>
      </c>
      <c r="O102" s="65" t="s">
        <v>39</v>
      </c>
      <c r="P102" s="62">
        <v>1.2</v>
      </c>
      <c r="Q102" s="89">
        <v>2</v>
      </c>
      <c r="R102" s="74">
        <v>45324</v>
      </c>
      <c r="S102" s="124">
        <v>45341</v>
      </c>
      <c r="T102" s="64" t="s">
        <v>19</v>
      </c>
      <c r="U102" s="76">
        <v>2</v>
      </c>
      <c r="V102" s="82">
        <v>0</v>
      </c>
      <c r="W102" s="62" t="s">
        <v>40</v>
      </c>
      <c r="X102" s="93" t="str">
        <f t="shared" si="14"/>
        <v>D1PEW-B-2Y0.9</v>
      </c>
      <c r="Y102" s="59" t="s">
        <v>32</v>
      </c>
      <c r="Z102" s="78"/>
    </row>
    <row r="103" spans="1:26" s="70" customFormat="1" ht="24.95" customHeight="1">
      <c r="A103" s="98"/>
      <c r="B103" s="99">
        <v>45323</v>
      </c>
      <c r="C103" s="94" t="s">
        <v>35</v>
      </c>
      <c r="D103" s="59" t="s">
        <v>20</v>
      </c>
      <c r="E103" s="14" t="str">
        <f t="shared" si="13"/>
        <v>11A</v>
      </c>
      <c r="F103" s="95" t="s">
        <v>42</v>
      </c>
      <c r="G103" s="3" t="s">
        <v>26</v>
      </c>
      <c r="H103" s="95">
        <v>0.8</v>
      </c>
      <c r="I103" s="59" t="s">
        <v>43</v>
      </c>
      <c r="J103" s="58" t="s">
        <v>402</v>
      </c>
      <c r="K103" s="58"/>
      <c r="L103" s="96" t="s">
        <v>403</v>
      </c>
      <c r="M103" s="58"/>
      <c r="N103" s="60" t="s">
        <v>404</v>
      </c>
      <c r="O103" s="60" t="s">
        <v>29</v>
      </c>
      <c r="P103" s="88">
        <v>5</v>
      </c>
      <c r="Q103" s="88">
        <v>1</v>
      </c>
      <c r="R103" s="66">
        <v>45323</v>
      </c>
      <c r="S103" s="54">
        <v>45327</v>
      </c>
      <c r="T103" s="59" t="s">
        <v>19</v>
      </c>
      <c r="U103" s="100">
        <v>1</v>
      </c>
      <c r="V103" s="97">
        <v>0</v>
      </c>
      <c r="W103" s="88" t="s">
        <v>40</v>
      </c>
      <c r="X103" s="95" t="str">
        <f t="shared" ref="X103:X170" si="15">F103&amp;H103</f>
        <v>D1-PEW-B-2Y0.8</v>
      </c>
      <c r="Y103" s="59" t="s">
        <v>32</v>
      </c>
      <c r="Z103" s="69"/>
    </row>
    <row r="104" spans="1:26" s="70" customFormat="1" ht="24.95" customHeight="1">
      <c r="A104" s="98"/>
      <c r="B104" s="99">
        <v>45323</v>
      </c>
      <c r="C104" s="94" t="s">
        <v>35</v>
      </c>
      <c r="D104" s="59" t="s">
        <v>20</v>
      </c>
      <c r="E104" s="14" t="str">
        <f t="shared" si="13"/>
        <v>11A</v>
      </c>
      <c r="F104" s="95" t="s">
        <v>42</v>
      </c>
      <c r="G104" s="3" t="s">
        <v>26</v>
      </c>
      <c r="H104" s="95">
        <v>0.8</v>
      </c>
      <c r="I104" s="59" t="s">
        <v>43</v>
      </c>
      <c r="J104" s="58" t="s">
        <v>274</v>
      </c>
      <c r="K104" s="58"/>
      <c r="L104" s="96"/>
      <c r="M104" s="58"/>
      <c r="N104" s="60" t="s">
        <v>404</v>
      </c>
      <c r="O104" s="60" t="s">
        <v>405</v>
      </c>
      <c r="P104" s="88">
        <v>5</v>
      </c>
      <c r="Q104" s="88">
        <v>3</v>
      </c>
      <c r="R104" s="66">
        <v>45323</v>
      </c>
      <c r="S104" s="54">
        <v>45327</v>
      </c>
      <c r="T104" s="59" t="s">
        <v>19</v>
      </c>
      <c r="U104" s="100">
        <v>3</v>
      </c>
      <c r="V104" s="97">
        <v>0</v>
      </c>
      <c r="W104" s="88" t="s">
        <v>40</v>
      </c>
      <c r="X104" s="95" t="str">
        <f t="shared" si="15"/>
        <v>D1-PEW-B-2Y0.8</v>
      </c>
      <c r="Y104" s="59" t="s">
        <v>32</v>
      </c>
      <c r="Z104" s="69"/>
    </row>
    <row r="105" spans="1:26" s="70" customFormat="1" ht="24.95" customHeight="1">
      <c r="A105" s="98"/>
      <c r="B105" s="99">
        <v>45323</v>
      </c>
      <c r="C105" s="94" t="s">
        <v>35</v>
      </c>
      <c r="D105" s="59" t="s">
        <v>20</v>
      </c>
      <c r="E105" s="14" t="str">
        <f t="shared" si="13"/>
        <v>V6B</v>
      </c>
      <c r="F105" s="95" t="s">
        <v>165</v>
      </c>
      <c r="G105" s="15" t="s">
        <v>27</v>
      </c>
      <c r="H105" s="95">
        <v>1.65</v>
      </c>
      <c r="I105" s="59" t="s">
        <v>321</v>
      </c>
      <c r="J105" s="58" t="s">
        <v>372</v>
      </c>
      <c r="K105" s="58" t="s">
        <v>406</v>
      </c>
      <c r="L105" s="96" t="s">
        <v>407</v>
      </c>
      <c r="M105" s="58"/>
      <c r="N105" s="60" t="s">
        <v>408</v>
      </c>
      <c r="O105" s="60" t="s">
        <v>30</v>
      </c>
      <c r="P105" s="88">
        <v>1</v>
      </c>
      <c r="Q105" s="88">
        <v>1</v>
      </c>
      <c r="R105" s="66">
        <v>45337</v>
      </c>
      <c r="S105" s="54">
        <v>45341</v>
      </c>
      <c r="T105" s="59" t="s">
        <v>19</v>
      </c>
      <c r="U105" s="100">
        <v>1</v>
      </c>
      <c r="V105" s="97">
        <v>0</v>
      </c>
      <c r="W105" s="88" t="s">
        <v>40</v>
      </c>
      <c r="X105" s="95" t="str">
        <f t="shared" si="15"/>
        <v>2EIWAD-O1.65</v>
      </c>
      <c r="Y105" s="59" t="s">
        <v>32</v>
      </c>
      <c r="Z105" s="69"/>
    </row>
    <row r="106" spans="1:26" s="70" customFormat="1" ht="24.95" customHeight="1">
      <c r="A106" s="98"/>
      <c r="B106" s="99">
        <v>45323</v>
      </c>
      <c r="C106" s="94" t="s">
        <v>35</v>
      </c>
      <c r="D106" s="59" t="s">
        <v>20</v>
      </c>
      <c r="E106" s="14" t="str">
        <f t="shared" si="13"/>
        <v>V6B</v>
      </c>
      <c r="F106" s="95" t="s">
        <v>165</v>
      </c>
      <c r="G106" s="15" t="s">
        <v>27</v>
      </c>
      <c r="H106" s="95">
        <v>1.65</v>
      </c>
      <c r="I106" s="59" t="s">
        <v>321</v>
      </c>
      <c r="J106" s="58" t="s">
        <v>323</v>
      </c>
      <c r="K106" s="58"/>
      <c r="L106" s="96" t="s">
        <v>60</v>
      </c>
      <c r="M106" s="58"/>
      <c r="N106" s="60" t="s">
        <v>409</v>
      </c>
      <c r="O106" s="60" t="s">
        <v>30</v>
      </c>
      <c r="P106" s="88">
        <v>1</v>
      </c>
      <c r="Q106" s="88">
        <v>1</v>
      </c>
      <c r="R106" s="66">
        <v>45335</v>
      </c>
      <c r="S106" s="54">
        <v>45341</v>
      </c>
      <c r="T106" s="59" t="s">
        <v>19</v>
      </c>
      <c r="U106" s="100">
        <v>1</v>
      </c>
      <c r="V106" s="97">
        <v>0</v>
      </c>
      <c r="W106" s="88" t="s">
        <v>40</v>
      </c>
      <c r="X106" s="95" t="str">
        <f t="shared" si="15"/>
        <v>2EIWAD-O1.65</v>
      </c>
      <c r="Y106" s="59" t="s">
        <v>32</v>
      </c>
      <c r="Z106" s="69"/>
    </row>
    <row r="107" spans="1:26" s="70" customFormat="1" ht="24.95" customHeight="1">
      <c r="A107" s="98"/>
      <c r="B107" s="99">
        <v>45323</v>
      </c>
      <c r="C107" s="94" t="s">
        <v>35</v>
      </c>
      <c r="D107" s="59" t="s">
        <v>20</v>
      </c>
      <c r="E107" s="14" t="str">
        <f t="shared" si="13"/>
        <v>VOA</v>
      </c>
      <c r="F107" s="95" t="s">
        <v>259</v>
      </c>
      <c r="G107" s="3" t="s">
        <v>26</v>
      </c>
      <c r="H107" s="95">
        <v>0.6</v>
      </c>
      <c r="I107" s="59" t="s">
        <v>31</v>
      </c>
      <c r="J107" s="58" t="s">
        <v>360</v>
      </c>
      <c r="K107" s="58"/>
      <c r="L107" s="96" t="s">
        <v>410</v>
      </c>
      <c r="M107" s="58"/>
      <c r="N107" s="60" t="s">
        <v>411</v>
      </c>
      <c r="O107" s="60" t="s">
        <v>39</v>
      </c>
      <c r="P107" s="88" t="s">
        <v>38</v>
      </c>
      <c r="Q107" s="88">
        <v>5</v>
      </c>
      <c r="R107" s="66">
        <v>45341</v>
      </c>
      <c r="S107" s="54">
        <v>45342</v>
      </c>
      <c r="T107" s="59" t="s">
        <v>19</v>
      </c>
      <c r="U107" s="100">
        <v>5</v>
      </c>
      <c r="V107" s="97">
        <v>0</v>
      </c>
      <c r="W107" s="88" t="s">
        <v>40</v>
      </c>
      <c r="X107" s="95" t="str">
        <f t="shared" si="15"/>
        <v>D1-PEW-B-2T0.6</v>
      </c>
      <c r="Y107" s="59" t="s">
        <v>32</v>
      </c>
      <c r="Z107" s="69"/>
    </row>
    <row r="108" spans="1:26" s="70" customFormat="1" ht="24.95" customHeight="1">
      <c r="A108" s="98"/>
      <c r="B108" s="99">
        <v>45323</v>
      </c>
      <c r="C108" s="94" t="s">
        <v>35</v>
      </c>
      <c r="D108" s="59" t="s">
        <v>20</v>
      </c>
      <c r="E108" s="14" t="str">
        <f t="shared" si="13"/>
        <v>V9B</v>
      </c>
      <c r="F108" s="95" t="s">
        <v>23</v>
      </c>
      <c r="G108" s="3" t="s">
        <v>26</v>
      </c>
      <c r="H108" s="95">
        <v>1.2</v>
      </c>
      <c r="I108" s="59" t="s">
        <v>25</v>
      </c>
      <c r="J108" s="58" t="s">
        <v>412</v>
      </c>
      <c r="K108" s="58"/>
      <c r="L108" s="96" t="s">
        <v>413</v>
      </c>
      <c r="M108" s="58"/>
      <c r="N108" s="60" t="s">
        <v>386</v>
      </c>
      <c r="O108" s="60" t="s">
        <v>39</v>
      </c>
      <c r="P108" s="88">
        <v>5</v>
      </c>
      <c r="Q108" s="88">
        <v>1</v>
      </c>
      <c r="R108" s="66">
        <v>45336</v>
      </c>
      <c r="S108" s="54">
        <v>45338</v>
      </c>
      <c r="T108" s="59" t="s">
        <v>19</v>
      </c>
      <c r="U108" s="100">
        <v>0</v>
      </c>
      <c r="V108" s="97">
        <v>1</v>
      </c>
      <c r="W108" s="88" t="s">
        <v>40</v>
      </c>
      <c r="X108" s="95" t="str">
        <f t="shared" si="15"/>
        <v>0FBWSHC1.2</v>
      </c>
      <c r="Y108" s="59" t="s">
        <v>182</v>
      </c>
      <c r="Z108" s="69"/>
    </row>
    <row r="109" spans="1:26" s="70" customFormat="1" ht="24.95" customHeight="1">
      <c r="A109" s="98"/>
      <c r="B109" s="99">
        <v>45323</v>
      </c>
      <c r="C109" s="94" t="s">
        <v>35</v>
      </c>
      <c r="D109" s="59" t="s">
        <v>20</v>
      </c>
      <c r="E109" s="14" t="str">
        <f t="shared" si="13"/>
        <v>11B</v>
      </c>
      <c r="F109" s="95" t="s">
        <v>24</v>
      </c>
      <c r="G109" s="3" t="s">
        <v>26</v>
      </c>
      <c r="H109" s="95">
        <v>0.85</v>
      </c>
      <c r="I109" s="59" t="s">
        <v>28</v>
      </c>
      <c r="J109" s="58" t="s">
        <v>45</v>
      </c>
      <c r="K109" s="58"/>
      <c r="L109" s="96" t="s">
        <v>283</v>
      </c>
      <c r="M109" s="58"/>
      <c r="N109" s="60" t="s">
        <v>414</v>
      </c>
      <c r="O109" s="60" t="s">
        <v>39</v>
      </c>
      <c r="P109" s="88">
        <v>3</v>
      </c>
      <c r="Q109" s="88">
        <v>1</v>
      </c>
      <c r="R109" s="66">
        <v>45336</v>
      </c>
      <c r="S109" s="54">
        <v>45338</v>
      </c>
      <c r="T109" s="59" t="s">
        <v>19</v>
      </c>
      <c r="U109" s="100">
        <v>1</v>
      </c>
      <c r="V109" s="97">
        <v>0</v>
      </c>
      <c r="W109" s="88" t="s">
        <v>40</v>
      </c>
      <c r="X109" s="95" t="str">
        <f t="shared" si="15"/>
        <v>2PEW0.85</v>
      </c>
      <c r="Y109" s="59" t="s">
        <v>32</v>
      </c>
      <c r="Z109" s="69"/>
    </row>
    <row r="110" spans="1:26" s="70" customFormat="1" ht="24.95" customHeight="1">
      <c r="A110" s="98"/>
      <c r="B110" s="99">
        <v>45323</v>
      </c>
      <c r="C110" s="94" t="s">
        <v>35</v>
      </c>
      <c r="D110" s="59" t="s">
        <v>20</v>
      </c>
      <c r="E110" s="14" t="str">
        <f t="shared" si="13"/>
        <v>V9A</v>
      </c>
      <c r="F110" s="95" t="s">
        <v>23</v>
      </c>
      <c r="G110" s="15" t="s">
        <v>27</v>
      </c>
      <c r="H110" s="95">
        <v>0.95</v>
      </c>
      <c r="I110" s="59" t="s">
        <v>25</v>
      </c>
      <c r="J110" s="58" t="s">
        <v>415</v>
      </c>
      <c r="K110" s="58"/>
      <c r="L110" s="96" t="s">
        <v>416</v>
      </c>
      <c r="M110" s="58"/>
      <c r="N110" s="60" t="s">
        <v>417</v>
      </c>
      <c r="O110" s="60" t="s">
        <v>29</v>
      </c>
      <c r="P110" s="88" t="s">
        <v>418</v>
      </c>
      <c r="Q110" s="88">
        <v>7</v>
      </c>
      <c r="R110" s="66">
        <v>45331</v>
      </c>
      <c r="S110" s="54">
        <v>45338</v>
      </c>
      <c r="T110" s="59" t="s">
        <v>19</v>
      </c>
      <c r="U110" s="100">
        <v>7</v>
      </c>
      <c r="V110" s="97">
        <v>0</v>
      </c>
      <c r="W110" s="88" t="s">
        <v>40</v>
      </c>
      <c r="X110" s="95" t="str">
        <f t="shared" si="15"/>
        <v>0FBWSHC0.95</v>
      </c>
      <c r="Y110" s="59" t="s">
        <v>32</v>
      </c>
      <c r="Z110" s="69"/>
    </row>
    <row r="111" spans="1:26" s="70" customFormat="1" ht="24.95" customHeight="1">
      <c r="A111" s="98"/>
      <c r="B111" s="99">
        <v>45323</v>
      </c>
      <c r="C111" s="94" t="s">
        <v>35</v>
      </c>
      <c r="D111" s="59" t="s">
        <v>20</v>
      </c>
      <c r="E111" s="14" t="str">
        <f t="shared" si="13"/>
        <v>V9A</v>
      </c>
      <c r="F111" s="95" t="s">
        <v>23</v>
      </c>
      <c r="G111" s="3" t="s">
        <v>26</v>
      </c>
      <c r="H111" s="95">
        <v>0.95</v>
      </c>
      <c r="I111" s="59" t="s">
        <v>25</v>
      </c>
      <c r="J111" s="58" t="s">
        <v>419</v>
      </c>
      <c r="K111" s="58"/>
      <c r="L111" s="96" t="s">
        <v>420</v>
      </c>
      <c r="M111" s="58"/>
      <c r="N111" s="60" t="s">
        <v>417</v>
      </c>
      <c r="O111" s="60" t="s">
        <v>30</v>
      </c>
      <c r="P111" s="88" t="s">
        <v>421</v>
      </c>
      <c r="Q111" s="88">
        <v>4</v>
      </c>
      <c r="R111" s="66">
        <v>45331</v>
      </c>
      <c r="S111" s="54">
        <v>45335</v>
      </c>
      <c r="T111" s="59" t="s">
        <v>19</v>
      </c>
      <c r="U111" s="100">
        <v>4</v>
      </c>
      <c r="V111" s="97">
        <v>0</v>
      </c>
      <c r="W111" s="88" t="s">
        <v>40</v>
      </c>
      <c r="X111" s="95" t="str">
        <f t="shared" si="15"/>
        <v>0FBWSHC0.95</v>
      </c>
      <c r="Y111" s="59" t="s">
        <v>32</v>
      </c>
      <c r="Z111" s="69"/>
    </row>
    <row r="112" spans="1:26" s="70" customFormat="1" ht="24.95" customHeight="1">
      <c r="A112" s="98"/>
      <c r="B112" s="99">
        <v>45323</v>
      </c>
      <c r="C112" s="94" t="s">
        <v>35</v>
      </c>
      <c r="D112" s="59" t="s">
        <v>20</v>
      </c>
      <c r="E112" s="14" t="str">
        <f t="shared" si="13"/>
        <v>V6A</v>
      </c>
      <c r="F112" s="95" t="s">
        <v>205</v>
      </c>
      <c r="G112" s="3" t="s">
        <v>26</v>
      </c>
      <c r="H112" s="95">
        <v>1.5</v>
      </c>
      <c r="I112" s="59" t="s">
        <v>206</v>
      </c>
      <c r="J112" s="58" t="s">
        <v>287</v>
      </c>
      <c r="K112" s="58"/>
      <c r="L112" s="96" t="s">
        <v>189</v>
      </c>
      <c r="M112" s="58"/>
      <c r="N112" s="60" t="s">
        <v>422</v>
      </c>
      <c r="O112" s="60" t="s">
        <v>30</v>
      </c>
      <c r="P112" s="88">
        <v>5.6</v>
      </c>
      <c r="Q112" s="88">
        <v>2</v>
      </c>
      <c r="R112" s="66">
        <v>45333</v>
      </c>
      <c r="S112" s="54">
        <v>45335</v>
      </c>
      <c r="T112" s="59" t="s">
        <v>19</v>
      </c>
      <c r="U112" s="100">
        <v>2</v>
      </c>
      <c r="V112" s="97">
        <v>0</v>
      </c>
      <c r="W112" s="88" t="s">
        <v>40</v>
      </c>
      <c r="X112" s="95" t="str">
        <f t="shared" si="15"/>
        <v>2EIWAD1.5</v>
      </c>
      <c r="Y112" s="59" t="s">
        <v>32</v>
      </c>
      <c r="Z112" s="69"/>
    </row>
    <row r="113" spans="1:26" s="70" customFormat="1" ht="24.95" customHeight="1">
      <c r="A113" s="98"/>
      <c r="B113" s="99">
        <v>45323</v>
      </c>
      <c r="C113" s="94" t="s">
        <v>35</v>
      </c>
      <c r="D113" s="59" t="s">
        <v>20</v>
      </c>
      <c r="E113" s="14" t="str">
        <f t="shared" si="13"/>
        <v>V9A</v>
      </c>
      <c r="F113" s="95" t="s">
        <v>151</v>
      </c>
      <c r="G113" s="3" t="s">
        <v>26</v>
      </c>
      <c r="H113" s="95">
        <v>0.9</v>
      </c>
      <c r="I113" s="59" t="s">
        <v>31</v>
      </c>
      <c r="J113" s="58" t="s">
        <v>58</v>
      </c>
      <c r="K113" s="58"/>
      <c r="L113" s="96" t="s">
        <v>423</v>
      </c>
      <c r="M113" s="58"/>
      <c r="N113" s="60" t="s">
        <v>424</v>
      </c>
      <c r="O113" s="60" t="s">
        <v>193</v>
      </c>
      <c r="P113" s="88" t="s">
        <v>425</v>
      </c>
      <c r="Q113" s="88">
        <v>18</v>
      </c>
      <c r="R113" s="66">
        <v>45343</v>
      </c>
      <c r="S113" s="54">
        <v>45344</v>
      </c>
      <c r="T113" s="59" t="s">
        <v>19</v>
      </c>
      <c r="U113" s="100">
        <v>18</v>
      </c>
      <c r="V113" s="97">
        <v>0</v>
      </c>
      <c r="W113" s="88" t="s">
        <v>40</v>
      </c>
      <c r="X113" s="95" t="str">
        <f t="shared" si="15"/>
        <v>D1PEW-B-2Y0.9</v>
      </c>
      <c r="Y113" s="59" t="s">
        <v>32</v>
      </c>
      <c r="Z113" s="69"/>
    </row>
    <row r="114" spans="1:26" s="70" customFormat="1" ht="24.95" customHeight="1">
      <c r="A114" s="98"/>
      <c r="B114" s="99">
        <v>45323</v>
      </c>
      <c r="C114" s="94" t="s">
        <v>35</v>
      </c>
      <c r="D114" s="59" t="s">
        <v>20</v>
      </c>
      <c r="E114" s="14" t="str">
        <f t="shared" si="13"/>
        <v>VOA</v>
      </c>
      <c r="F114" s="95" t="s">
        <v>259</v>
      </c>
      <c r="G114" s="3" t="s">
        <v>26</v>
      </c>
      <c r="H114" s="95">
        <v>0.6</v>
      </c>
      <c r="I114" s="59" t="s">
        <v>31</v>
      </c>
      <c r="J114" s="58" t="s">
        <v>58</v>
      </c>
      <c r="K114" s="58"/>
      <c r="L114" s="96" t="s">
        <v>426</v>
      </c>
      <c r="M114" s="58"/>
      <c r="N114" s="60" t="s">
        <v>427</v>
      </c>
      <c r="O114" s="60" t="s">
        <v>193</v>
      </c>
      <c r="P114" s="88" t="s">
        <v>365</v>
      </c>
      <c r="Q114" s="88">
        <v>10</v>
      </c>
      <c r="R114" s="66">
        <v>45343</v>
      </c>
      <c r="S114" s="54">
        <v>45344</v>
      </c>
      <c r="T114" s="59" t="s">
        <v>19</v>
      </c>
      <c r="U114" s="100">
        <v>10</v>
      </c>
      <c r="V114" s="97">
        <v>0</v>
      </c>
      <c r="W114" s="88" t="s">
        <v>40</v>
      </c>
      <c r="X114" s="95" t="str">
        <f t="shared" si="15"/>
        <v>D1-PEW-B-2T0.6</v>
      </c>
      <c r="Y114" s="59" t="s">
        <v>32</v>
      </c>
      <c r="Z114" s="69"/>
    </row>
    <row r="115" spans="1:26" s="70" customFormat="1" ht="24.95" customHeight="1">
      <c r="A115" s="98"/>
      <c r="B115" s="99">
        <v>45323</v>
      </c>
      <c r="C115" s="94" t="s">
        <v>35</v>
      </c>
      <c r="D115" s="59" t="s">
        <v>20</v>
      </c>
      <c r="E115" s="14" t="str">
        <f t="shared" si="13"/>
        <v>11B</v>
      </c>
      <c r="F115" s="95" t="s">
        <v>151</v>
      </c>
      <c r="G115" s="3" t="s">
        <v>26</v>
      </c>
      <c r="H115" s="95">
        <v>0.9</v>
      </c>
      <c r="I115" s="59" t="s">
        <v>31</v>
      </c>
      <c r="J115" s="58" t="s">
        <v>58</v>
      </c>
      <c r="K115" s="58"/>
      <c r="L115" s="96" t="s">
        <v>410</v>
      </c>
      <c r="M115" s="58"/>
      <c r="N115" s="60" t="s">
        <v>428</v>
      </c>
      <c r="O115" s="60" t="s">
        <v>195</v>
      </c>
      <c r="P115" s="88" t="s">
        <v>38</v>
      </c>
      <c r="Q115" s="88">
        <v>5</v>
      </c>
      <c r="R115" s="66">
        <v>45343</v>
      </c>
      <c r="S115" s="54">
        <v>45344</v>
      </c>
      <c r="T115" s="59" t="s">
        <v>19</v>
      </c>
      <c r="U115" s="100">
        <v>5</v>
      </c>
      <c r="V115" s="97">
        <v>0</v>
      </c>
      <c r="W115" s="88" t="s">
        <v>40</v>
      </c>
      <c r="X115" s="95" t="str">
        <f t="shared" si="15"/>
        <v>D1PEW-B-2Y0.9</v>
      </c>
      <c r="Y115" s="59" t="s">
        <v>32</v>
      </c>
      <c r="Z115" s="69"/>
    </row>
    <row r="116" spans="1:26" s="70" customFormat="1" ht="24.95" customHeight="1">
      <c r="A116" s="98"/>
      <c r="B116" s="99">
        <v>45323</v>
      </c>
      <c r="C116" s="94" t="s">
        <v>35</v>
      </c>
      <c r="D116" s="59" t="s">
        <v>20</v>
      </c>
      <c r="E116" s="14" t="str">
        <f t="shared" si="13"/>
        <v>11B</v>
      </c>
      <c r="F116" s="95" t="s">
        <v>151</v>
      </c>
      <c r="G116" s="3" t="s">
        <v>26</v>
      </c>
      <c r="H116" s="95">
        <v>0.9</v>
      </c>
      <c r="I116" s="59" t="s">
        <v>31</v>
      </c>
      <c r="J116" s="58" t="s">
        <v>360</v>
      </c>
      <c r="K116" s="58" t="s">
        <v>208</v>
      </c>
      <c r="L116" s="96"/>
      <c r="M116" s="58"/>
      <c r="N116" s="60" t="s">
        <v>527</v>
      </c>
      <c r="O116" s="60" t="s">
        <v>195</v>
      </c>
      <c r="P116" s="88" t="s">
        <v>38</v>
      </c>
      <c r="Q116" s="88">
        <v>5</v>
      </c>
      <c r="R116" s="66">
        <v>45348</v>
      </c>
      <c r="S116" s="54">
        <v>45348</v>
      </c>
      <c r="T116" s="59" t="s">
        <v>19</v>
      </c>
      <c r="U116" s="100">
        <v>5</v>
      </c>
      <c r="V116" s="97">
        <v>0</v>
      </c>
      <c r="W116" s="88" t="s">
        <v>40</v>
      </c>
      <c r="X116" s="95" t="str">
        <f t="shared" ref="X116:X137" si="16">F116&amp;H116</f>
        <v>D1PEW-B-2Y0.9</v>
      </c>
      <c r="Y116" s="59" t="s">
        <v>32</v>
      </c>
      <c r="Z116" s="69"/>
    </row>
    <row r="117" spans="1:26" s="70" customFormat="1" ht="24.95" customHeight="1">
      <c r="A117" s="98"/>
      <c r="B117" s="99">
        <v>45323</v>
      </c>
      <c r="C117" s="94" t="s">
        <v>35</v>
      </c>
      <c r="D117" s="59" t="s">
        <v>20</v>
      </c>
      <c r="E117" s="14" t="str">
        <f t="shared" si="13"/>
        <v>V9B</v>
      </c>
      <c r="F117" s="95" t="s">
        <v>23</v>
      </c>
      <c r="G117" s="3" t="s">
        <v>26</v>
      </c>
      <c r="H117" s="95">
        <v>1.2</v>
      </c>
      <c r="I117" s="59" t="s">
        <v>25</v>
      </c>
      <c r="J117" s="58" t="s">
        <v>360</v>
      </c>
      <c r="K117" s="58" t="s">
        <v>208</v>
      </c>
      <c r="L117" s="96"/>
      <c r="M117" s="58"/>
      <c r="N117" s="60" t="s">
        <v>528</v>
      </c>
      <c r="O117" s="60" t="s">
        <v>39</v>
      </c>
      <c r="P117" s="88">
        <v>1</v>
      </c>
      <c r="Q117" s="88">
        <v>7</v>
      </c>
      <c r="R117" s="66">
        <v>45348</v>
      </c>
      <c r="S117" s="54">
        <v>45348</v>
      </c>
      <c r="T117" s="59" t="s">
        <v>19</v>
      </c>
      <c r="U117" s="100">
        <v>7</v>
      </c>
      <c r="V117" s="97">
        <v>0</v>
      </c>
      <c r="W117" s="88" t="s">
        <v>40</v>
      </c>
      <c r="X117" s="95" t="str">
        <f t="shared" si="16"/>
        <v>0FBWSHC1.2</v>
      </c>
      <c r="Y117" s="59" t="s">
        <v>32</v>
      </c>
      <c r="Z117" s="69"/>
    </row>
    <row r="118" spans="1:26" s="70" customFormat="1" ht="24.95" customHeight="1">
      <c r="A118" s="98"/>
      <c r="B118" s="99">
        <v>45323</v>
      </c>
      <c r="C118" s="94" t="s">
        <v>35</v>
      </c>
      <c r="D118" s="59" t="s">
        <v>20</v>
      </c>
      <c r="E118" s="14" t="str">
        <f t="shared" si="13"/>
        <v>12B</v>
      </c>
      <c r="F118" s="95" t="s">
        <v>529</v>
      </c>
      <c r="G118" s="3" t="s">
        <v>26</v>
      </c>
      <c r="H118" s="95">
        <v>1.6</v>
      </c>
      <c r="I118" s="59" t="s">
        <v>530</v>
      </c>
      <c r="J118" s="58" t="s">
        <v>287</v>
      </c>
      <c r="K118" s="58" t="s">
        <v>208</v>
      </c>
      <c r="L118" s="96"/>
      <c r="M118" s="58"/>
      <c r="N118" s="60" t="s">
        <v>531</v>
      </c>
      <c r="O118" s="60" t="s">
        <v>532</v>
      </c>
      <c r="P118" s="88">
        <v>5</v>
      </c>
      <c r="Q118" s="88">
        <v>1</v>
      </c>
      <c r="R118" s="66">
        <v>45347</v>
      </c>
      <c r="S118" s="54">
        <v>45348</v>
      </c>
      <c r="T118" s="59" t="s">
        <v>19</v>
      </c>
      <c r="U118" s="100">
        <v>1</v>
      </c>
      <c r="V118" s="97">
        <v>0</v>
      </c>
      <c r="W118" s="88" t="s">
        <v>40</v>
      </c>
      <c r="X118" s="95" t="str">
        <f t="shared" si="16"/>
        <v>1PEW1.6</v>
      </c>
      <c r="Y118" s="59" t="s">
        <v>32</v>
      </c>
      <c r="Z118" s="69"/>
    </row>
    <row r="119" spans="1:26" s="70" customFormat="1" ht="24.95" customHeight="1">
      <c r="A119" s="98"/>
      <c r="B119" s="99">
        <v>45323</v>
      </c>
      <c r="C119" s="94" t="s">
        <v>35</v>
      </c>
      <c r="D119" s="59" t="s">
        <v>20</v>
      </c>
      <c r="E119" s="14" t="str">
        <f t="shared" si="13"/>
        <v>V9B</v>
      </c>
      <c r="F119" s="95" t="s">
        <v>23</v>
      </c>
      <c r="G119" s="15" t="s">
        <v>27</v>
      </c>
      <c r="H119" s="95">
        <v>1.2</v>
      </c>
      <c r="I119" s="59" t="s">
        <v>25</v>
      </c>
      <c r="J119" s="58" t="s">
        <v>533</v>
      </c>
      <c r="K119" s="58"/>
      <c r="L119" s="96" t="s">
        <v>534</v>
      </c>
      <c r="M119" s="58"/>
      <c r="N119" s="60" t="s">
        <v>357</v>
      </c>
      <c r="O119" s="60" t="s">
        <v>29</v>
      </c>
      <c r="P119" s="88" t="s">
        <v>349</v>
      </c>
      <c r="Q119" s="88">
        <v>7</v>
      </c>
      <c r="R119" s="66">
        <v>45331</v>
      </c>
      <c r="S119" s="54">
        <v>45348</v>
      </c>
      <c r="T119" s="59" t="s">
        <v>19</v>
      </c>
      <c r="U119" s="100">
        <v>7</v>
      </c>
      <c r="V119" s="97">
        <v>0</v>
      </c>
      <c r="W119" s="88" t="s">
        <v>40</v>
      </c>
      <c r="X119" s="95" t="str">
        <f t="shared" si="16"/>
        <v>0FBWSHC1.2</v>
      </c>
      <c r="Y119" s="59" t="s">
        <v>32</v>
      </c>
      <c r="Z119" s="69"/>
    </row>
    <row r="120" spans="1:26" s="70" customFormat="1" ht="24.95" customHeight="1">
      <c r="A120" s="98"/>
      <c r="B120" s="99">
        <v>45323</v>
      </c>
      <c r="C120" s="94" t="s">
        <v>35</v>
      </c>
      <c r="D120" s="59" t="s">
        <v>20</v>
      </c>
      <c r="E120" s="14" t="str">
        <f t="shared" si="13"/>
        <v>V8C</v>
      </c>
      <c r="F120" s="95" t="s">
        <v>535</v>
      </c>
      <c r="G120" s="15" t="s">
        <v>27</v>
      </c>
      <c r="H120" s="95">
        <v>0.55000000000000004</v>
      </c>
      <c r="I120" s="59" t="s">
        <v>536</v>
      </c>
      <c r="J120" s="58" t="s">
        <v>537</v>
      </c>
      <c r="K120" s="58" t="s">
        <v>538</v>
      </c>
      <c r="L120" s="96" t="s">
        <v>539</v>
      </c>
      <c r="M120" s="58"/>
      <c r="N120" s="60" t="s">
        <v>540</v>
      </c>
      <c r="O120" s="60" t="s">
        <v>541</v>
      </c>
      <c r="P120" s="88" t="s">
        <v>542</v>
      </c>
      <c r="Q120" s="88">
        <v>5</v>
      </c>
      <c r="R120" s="66">
        <v>45341</v>
      </c>
      <c r="S120" s="54">
        <v>45348</v>
      </c>
      <c r="T120" s="59" t="s">
        <v>19</v>
      </c>
      <c r="U120" s="100">
        <v>5</v>
      </c>
      <c r="V120" s="97">
        <v>0</v>
      </c>
      <c r="W120" s="88" t="s">
        <v>40</v>
      </c>
      <c r="X120" s="95" t="str">
        <f t="shared" si="16"/>
        <v>D2IDW4A-10.55</v>
      </c>
      <c r="Y120" s="59" t="s">
        <v>32</v>
      </c>
      <c r="Z120" s="69"/>
    </row>
    <row r="121" spans="1:26" s="70" customFormat="1" ht="24.95" customHeight="1">
      <c r="A121" s="98"/>
      <c r="B121" s="99">
        <v>45323</v>
      </c>
      <c r="C121" s="94" t="s">
        <v>35</v>
      </c>
      <c r="D121" s="59" t="s">
        <v>20</v>
      </c>
      <c r="E121" s="14" t="str">
        <f t="shared" si="13"/>
        <v>VOB</v>
      </c>
      <c r="F121" s="95" t="s">
        <v>200</v>
      </c>
      <c r="G121" s="15" t="s">
        <v>27</v>
      </c>
      <c r="H121" s="95">
        <v>0.63</v>
      </c>
      <c r="I121" s="59" t="s">
        <v>31</v>
      </c>
      <c r="J121" s="21" t="s">
        <v>543</v>
      </c>
      <c r="K121" s="58" t="s">
        <v>543</v>
      </c>
      <c r="L121" s="96" t="s">
        <v>544</v>
      </c>
      <c r="M121" s="58"/>
      <c r="N121" s="60" t="s">
        <v>545</v>
      </c>
      <c r="O121" s="60" t="s">
        <v>176</v>
      </c>
      <c r="P121" s="88" t="s">
        <v>38</v>
      </c>
      <c r="Q121" s="88">
        <v>10</v>
      </c>
      <c r="R121" s="66">
        <v>45341</v>
      </c>
      <c r="S121" s="54">
        <v>45348</v>
      </c>
      <c r="T121" s="59" t="s">
        <v>19</v>
      </c>
      <c r="U121" s="100">
        <v>10</v>
      </c>
      <c r="V121" s="97">
        <v>0</v>
      </c>
      <c r="W121" s="88" t="s">
        <v>40</v>
      </c>
      <c r="X121" s="95" t="str">
        <f t="shared" si="16"/>
        <v>D2IDW-4-B-20.63</v>
      </c>
      <c r="Y121" s="59" t="s">
        <v>32</v>
      </c>
      <c r="Z121" s="69"/>
    </row>
    <row r="122" spans="1:26" s="70" customFormat="1" ht="24.95" customHeight="1">
      <c r="A122" s="98"/>
      <c r="B122" s="99">
        <v>45323</v>
      </c>
      <c r="C122" s="94" t="s">
        <v>35</v>
      </c>
      <c r="D122" s="59" t="s">
        <v>20</v>
      </c>
      <c r="E122" s="14" t="str">
        <f t="shared" si="13"/>
        <v>V9B</v>
      </c>
      <c r="F122" s="95" t="s">
        <v>23</v>
      </c>
      <c r="G122" s="3" t="s">
        <v>26</v>
      </c>
      <c r="H122" s="95">
        <v>1.2</v>
      </c>
      <c r="I122" s="59" t="s">
        <v>25</v>
      </c>
      <c r="J122" s="58" t="s">
        <v>158</v>
      </c>
      <c r="K122" s="58" t="s">
        <v>533</v>
      </c>
      <c r="L122" s="96" t="s">
        <v>546</v>
      </c>
      <c r="M122" s="58"/>
      <c r="N122" s="60" t="s">
        <v>547</v>
      </c>
      <c r="O122" s="60" t="s">
        <v>29</v>
      </c>
      <c r="P122" s="88" t="s">
        <v>349</v>
      </c>
      <c r="Q122" s="88">
        <v>7</v>
      </c>
      <c r="R122" s="66">
        <v>45345</v>
      </c>
      <c r="S122" s="54">
        <v>45348</v>
      </c>
      <c r="T122" s="59" t="s">
        <v>19</v>
      </c>
      <c r="U122" s="100">
        <v>0</v>
      </c>
      <c r="V122" s="97">
        <v>7</v>
      </c>
      <c r="W122" s="88" t="s">
        <v>40</v>
      </c>
      <c r="X122" s="95" t="str">
        <f t="shared" si="16"/>
        <v>0FBWSHC1.2</v>
      </c>
      <c r="Y122" s="59" t="s">
        <v>182</v>
      </c>
      <c r="Z122" s="69"/>
    </row>
    <row r="123" spans="1:26" s="70" customFormat="1" ht="24.95" customHeight="1">
      <c r="A123" s="98"/>
      <c r="B123" s="99">
        <v>45323</v>
      </c>
      <c r="C123" s="94" t="s">
        <v>35</v>
      </c>
      <c r="D123" s="59" t="s">
        <v>20</v>
      </c>
      <c r="E123" s="14" t="str">
        <f t="shared" si="13"/>
        <v>V9B</v>
      </c>
      <c r="F123" s="95" t="s">
        <v>23</v>
      </c>
      <c r="G123" s="3" t="s">
        <v>26</v>
      </c>
      <c r="H123" s="95">
        <v>1.2</v>
      </c>
      <c r="I123" s="59" t="s">
        <v>25</v>
      </c>
      <c r="J123" s="58" t="s">
        <v>548</v>
      </c>
      <c r="K123" s="58" t="s">
        <v>549</v>
      </c>
      <c r="L123" s="104" t="s">
        <v>550</v>
      </c>
      <c r="M123" s="58"/>
      <c r="N123" s="60" t="s">
        <v>547</v>
      </c>
      <c r="O123" s="60" t="s">
        <v>30</v>
      </c>
      <c r="P123" s="88" t="s">
        <v>551</v>
      </c>
      <c r="Q123" s="88">
        <v>5</v>
      </c>
      <c r="R123" s="66">
        <v>45344</v>
      </c>
      <c r="S123" s="54">
        <v>45348</v>
      </c>
      <c r="T123" s="59" t="s">
        <v>19</v>
      </c>
      <c r="U123" s="100">
        <v>0</v>
      </c>
      <c r="V123" s="97">
        <v>5</v>
      </c>
      <c r="W123" s="88" t="s">
        <v>40</v>
      </c>
      <c r="X123" s="95" t="str">
        <f t="shared" si="16"/>
        <v>0FBWSHC1.2</v>
      </c>
      <c r="Y123" s="59" t="s">
        <v>182</v>
      </c>
      <c r="Z123" s="69"/>
    </row>
    <row r="124" spans="1:26" s="70" customFormat="1" ht="24.95" customHeight="1">
      <c r="A124" s="98"/>
      <c r="B124" s="99">
        <v>45323</v>
      </c>
      <c r="C124" s="94" t="s">
        <v>35</v>
      </c>
      <c r="D124" s="59" t="s">
        <v>20</v>
      </c>
      <c r="E124" s="14" t="str">
        <f t="shared" si="13"/>
        <v>V6B</v>
      </c>
      <c r="F124" s="95" t="s">
        <v>165</v>
      </c>
      <c r="G124" s="15" t="s">
        <v>27</v>
      </c>
      <c r="H124" s="95">
        <v>1.65</v>
      </c>
      <c r="I124" s="59" t="s">
        <v>321</v>
      </c>
      <c r="J124" s="58" t="s">
        <v>552</v>
      </c>
      <c r="K124" s="58" t="s">
        <v>552</v>
      </c>
      <c r="L124" s="96" t="s">
        <v>373</v>
      </c>
      <c r="M124" s="58"/>
      <c r="N124" s="60" t="s">
        <v>553</v>
      </c>
      <c r="O124" s="60" t="s">
        <v>29</v>
      </c>
      <c r="P124" s="88">
        <v>1</v>
      </c>
      <c r="Q124" s="88">
        <v>1</v>
      </c>
      <c r="R124" s="66">
        <v>45345</v>
      </c>
      <c r="S124" s="54">
        <v>45349</v>
      </c>
      <c r="T124" s="59" t="s">
        <v>19</v>
      </c>
      <c r="U124" s="100">
        <v>1</v>
      </c>
      <c r="V124" s="97">
        <v>0</v>
      </c>
      <c r="W124" s="88" t="s">
        <v>40</v>
      </c>
      <c r="X124" s="95" t="str">
        <f t="shared" si="16"/>
        <v>2EIWAD-O1.65</v>
      </c>
      <c r="Y124" s="59" t="s">
        <v>32</v>
      </c>
      <c r="Z124" s="69"/>
    </row>
    <row r="125" spans="1:26" s="70" customFormat="1" ht="24.95" customHeight="1">
      <c r="A125" s="98"/>
      <c r="B125" s="99">
        <v>45323</v>
      </c>
      <c r="C125" s="94" t="s">
        <v>35</v>
      </c>
      <c r="D125" s="59" t="s">
        <v>20</v>
      </c>
      <c r="E125" s="14" t="str">
        <f t="shared" si="13"/>
        <v>V6B</v>
      </c>
      <c r="F125" s="95" t="s">
        <v>165</v>
      </c>
      <c r="G125" s="15" t="s">
        <v>27</v>
      </c>
      <c r="H125" s="95">
        <v>1.65</v>
      </c>
      <c r="I125" s="59" t="s">
        <v>321</v>
      </c>
      <c r="J125" s="58" t="s">
        <v>322</v>
      </c>
      <c r="K125" s="58"/>
      <c r="L125" s="96" t="s">
        <v>60</v>
      </c>
      <c r="M125" s="58"/>
      <c r="N125" s="60" t="s">
        <v>554</v>
      </c>
      <c r="O125" s="60" t="s">
        <v>30</v>
      </c>
      <c r="P125" s="88">
        <v>1</v>
      </c>
      <c r="Q125" s="88">
        <v>1</v>
      </c>
      <c r="R125" s="66">
        <v>45347</v>
      </c>
      <c r="S125" s="54">
        <v>45349</v>
      </c>
      <c r="T125" s="59" t="s">
        <v>19</v>
      </c>
      <c r="U125" s="100">
        <v>1</v>
      </c>
      <c r="V125" s="97">
        <v>0</v>
      </c>
      <c r="W125" s="88" t="s">
        <v>40</v>
      </c>
      <c r="X125" s="95" t="str">
        <f t="shared" si="16"/>
        <v>2EIWAD-O1.65</v>
      </c>
      <c r="Y125" s="59" t="s">
        <v>32</v>
      </c>
      <c r="Z125" s="69"/>
    </row>
    <row r="126" spans="1:26" s="70" customFormat="1" ht="24.95" customHeight="1">
      <c r="A126" s="98"/>
      <c r="B126" s="99">
        <v>45323</v>
      </c>
      <c r="C126" s="94" t="s">
        <v>35</v>
      </c>
      <c r="D126" s="59" t="s">
        <v>20</v>
      </c>
      <c r="E126" s="14" t="str">
        <f t="shared" si="13"/>
        <v>V6B</v>
      </c>
      <c r="F126" s="95" t="s">
        <v>165</v>
      </c>
      <c r="G126" s="15" t="s">
        <v>27</v>
      </c>
      <c r="H126" s="95">
        <v>1.65</v>
      </c>
      <c r="I126" s="59" t="s">
        <v>321</v>
      </c>
      <c r="J126" s="58" t="s">
        <v>323</v>
      </c>
      <c r="K126" s="58" t="s">
        <v>323</v>
      </c>
      <c r="L126" s="96" t="s">
        <v>555</v>
      </c>
      <c r="M126" s="58"/>
      <c r="N126" s="60" t="s">
        <v>556</v>
      </c>
      <c r="O126" s="60" t="s">
        <v>30</v>
      </c>
      <c r="P126" s="88">
        <v>3.6</v>
      </c>
      <c r="Q126" s="88">
        <v>2</v>
      </c>
      <c r="R126" s="66">
        <v>45344</v>
      </c>
      <c r="S126" s="54">
        <v>45349</v>
      </c>
      <c r="T126" s="59" t="s">
        <v>19</v>
      </c>
      <c r="U126" s="100">
        <v>2</v>
      </c>
      <c r="V126" s="97">
        <v>0</v>
      </c>
      <c r="W126" s="88" t="s">
        <v>40</v>
      </c>
      <c r="X126" s="95" t="str">
        <f t="shared" si="16"/>
        <v>2EIWAD-O1.65</v>
      </c>
      <c r="Y126" s="59" t="s">
        <v>32</v>
      </c>
      <c r="Z126" s="69"/>
    </row>
    <row r="127" spans="1:26" s="70" customFormat="1" ht="24.95" customHeight="1">
      <c r="A127" s="98"/>
      <c r="B127" s="99">
        <v>45323</v>
      </c>
      <c r="C127" s="94" t="s">
        <v>35</v>
      </c>
      <c r="D127" s="59" t="s">
        <v>20</v>
      </c>
      <c r="E127" s="14" t="str">
        <f t="shared" si="13"/>
        <v>V6B</v>
      </c>
      <c r="F127" s="95" t="s">
        <v>165</v>
      </c>
      <c r="G127" s="15" t="s">
        <v>27</v>
      </c>
      <c r="H127" s="95">
        <v>1.65</v>
      </c>
      <c r="I127" s="59" t="s">
        <v>321</v>
      </c>
      <c r="J127" s="58" t="s">
        <v>372</v>
      </c>
      <c r="K127" s="58"/>
      <c r="L127" s="96" t="s">
        <v>373</v>
      </c>
      <c r="M127" s="58"/>
      <c r="N127" s="60" t="s">
        <v>556</v>
      </c>
      <c r="O127" s="60" t="s">
        <v>30</v>
      </c>
      <c r="P127" s="88">
        <v>1</v>
      </c>
      <c r="Q127" s="88">
        <v>1</v>
      </c>
      <c r="R127" s="66">
        <v>45344</v>
      </c>
      <c r="S127" s="54">
        <v>45349</v>
      </c>
      <c r="T127" s="59" t="s">
        <v>19</v>
      </c>
      <c r="U127" s="100">
        <v>1</v>
      </c>
      <c r="V127" s="97">
        <v>0</v>
      </c>
      <c r="W127" s="88" t="s">
        <v>40</v>
      </c>
      <c r="X127" s="95" t="str">
        <f t="shared" si="16"/>
        <v>2EIWAD-O1.65</v>
      </c>
      <c r="Y127" s="59" t="s">
        <v>32</v>
      </c>
      <c r="Z127" s="69"/>
    </row>
    <row r="128" spans="1:26" s="70" customFormat="1" ht="24.95" customHeight="1">
      <c r="A128" s="98"/>
      <c r="B128" s="99">
        <v>45323</v>
      </c>
      <c r="C128" s="94" t="s">
        <v>35</v>
      </c>
      <c r="D128" s="59" t="s">
        <v>20</v>
      </c>
      <c r="E128" s="14" t="str">
        <f t="shared" si="13"/>
        <v>V8B</v>
      </c>
      <c r="F128" s="95" t="s">
        <v>535</v>
      </c>
      <c r="G128" s="3" t="s">
        <v>26</v>
      </c>
      <c r="H128" s="95">
        <v>0.55000000000000004</v>
      </c>
      <c r="I128" s="59" t="s">
        <v>536</v>
      </c>
      <c r="J128" s="58" t="s">
        <v>557</v>
      </c>
      <c r="K128" s="58"/>
      <c r="L128" s="96" t="s">
        <v>208</v>
      </c>
      <c r="M128" s="58"/>
      <c r="N128" s="60" t="s">
        <v>558</v>
      </c>
      <c r="O128" s="60" t="s">
        <v>263</v>
      </c>
      <c r="P128" s="88">
        <v>3</v>
      </c>
      <c r="Q128" s="88">
        <v>1</v>
      </c>
      <c r="R128" s="66">
        <v>45343</v>
      </c>
      <c r="S128" s="54">
        <v>45349</v>
      </c>
      <c r="T128" s="59" t="s">
        <v>19</v>
      </c>
      <c r="U128" s="100">
        <v>1</v>
      </c>
      <c r="V128" s="97">
        <v>0</v>
      </c>
      <c r="W128" s="88" t="s">
        <v>40</v>
      </c>
      <c r="X128" s="95" t="str">
        <f t="shared" si="16"/>
        <v>D2IDW4A-10.55</v>
      </c>
      <c r="Y128" s="59" t="s">
        <v>32</v>
      </c>
      <c r="Z128" s="69"/>
    </row>
    <row r="129" spans="1:26" s="70" customFormat="1" ht="24.95" customHeight="1">
      <c r="A129" s="98"/>
      <c r="B129" s="99">
        <v>45323</v>
      </c>
      <c r="C129" s="94" t="s">
        <v>35</v>
      </c>
      <c r="D129" s="59" t="s">
        <v>20</v>
      </c>
      <c r="E129" s="14" t="str">
        <f t="shared" si="13"/>
        <v>11B</v>
      </c>
      <c r="F129" s="95" t="s">
        <v>24</v>
      </c>
      <c r="G129" s="3" t="s">
        <v>26</v>
      </c>
      <c r="H129" s="95">
        <v>0.8</v>
      </c>
      <c r="I129" s="59" t="s">
        <v>28</v>
      </c>
      <c r="J129" s="58" t="s">
        <v>45</v>
      </c>
      <c r="K129" s="58"/>
      <c r="L129" s="96" t="s">
        <v>283</v>
      </c>
      <c r="M129" s="58"/>
      <c r="N129" s="60" t="s">
        <v>559</v>
      </c>
      <c r="O129" s="60" t="s">
        <v>263</v>
      </c>
      <c r="P129" s="88">
        <v>5</v>
      </c>
      <c r="Q129" s="88">
        <v>1</v>
      </c>
      <c r="R129" s="66">
        <v>45330</v>
      </c>
      <c r="S129" s="54">
        <v>45349</v>
      </c>
      <c r="T129" s="59" t="s">
        <v>19</v>
      </c>
      <c r="U129" s="100">
        <v>1</v>
      </c>
      <c r="V129" s="97">
        <v>0</v>
      </c>
      <c r="W129" s="88" t="s">
        <v>40</v>
      </c>
      <c r="X129" s="95" t="str">
        <f t="shared" si="16"/>
        <v>2PEW0.8</v>
      </c>
      <c r="Y129" s="59" t="s">
        <v>32</v>
      </c>
      <c r="Z129" s="69"/>
    </row>
    <row r="130" spans="1:26" s="70" customFormat="1" ht="24.95" customHeight="1">
      <c r="A130" s="98"/>
      <c r="B130" s="99">
        <v>45323</v>
      </c>
      <c r="C130" s="94" t="s">
        <v>35</v>
      </c>
      <c r="D130" s="59" t="s">
        <v>20</v>
      </c>
      <c r="E130" s="14" t="str">
        <f t="shared" si="13"/>
        <v>VOB</v>
      </c>
      <c r="F130" s="95" t="s">
        <v>259</v>
      </c>
      <c r="G130" s="3" t="s">
        <v>26</v>
      </c>
      <c r="H130" s="95">
        <v>0.56000000000000005</v>
      </c>
      <c r="I130" s="59" t="s">
        <v>31</v>
      </c>
      <c r="J130" s="58" t="s">
        <v>360</v>
      </c>
      <c r="K130" s="58" t="s">
        <v>208</v>
      </c>
      <c r="L130" s="96"/>
      <c r="M130" s="58"/>
      <c r="N130" s="60" t="s">
        <v>560</v>
      </c>
      <c r="O130" s="60" t="s">
        <v>39</v>
      </c>
      <c r="P130" s="88">
        <v>1</v>
      </c>
      <c r="Q130" s="88">
        <v>1</v>
      </c>
      <c r="R130" s="66">
        <v>45348</v>
      </c>
      <c r="S130" s="54">
        <v>45348</v>
      </c>
      <c r="T130" s="59" t="s">
        <v>19</v>
      </c>
      <c r="U130" s="100">
        <v>1</v>
      </c>
      <c r="V130" s="97">
        <v>0</v>
      </c>
      <c r="W130" s="88" t="s">
        <v>40</v>
      </c>
      <c r="X130" s="95" t="str">
        <f t="shared" si="16"/>
        <v>D1-PEW-B-2T0.56</v>
      </c>
      <c r="Y130" s="59" t="s">
        <v>32</v>
      </c>
      <c r="Z130" s="69"/>
    </row>
    <row r="131" spans="1:26" s="70" customFormat="1" ht="24.95" customHeight="1">
      <c r="A131" s="98"/>
      <c r="B131" s="99">
        <v>45323</v>
      </c>
      <c r="C131" s="94" t="s">
        <v>35</v>
      </c>
      <c r="D131" s="59" t="s">
        <v>20</v>
      </c>
      <c r="E131" s="14" t="str">
        <f t="shared" si="13"/>
        <v>11B</v>
      </c>
      <c r="F131" s="95" t="s">
        <v>151</v>
      </c>
      <c r="G131" s="3" t="s">
        <v>26</v>
      </c>
      <c r="H131" s="95">
        <v>0.9</v>
      </c>
      <c r="I131" s="59" t="s">
        <v>31</v>
      </c>
      <c r="J131" s="58" t="s">
        <v>360</v>
      </c>
      <c r="K131" s="58" t="s">
        <v>208</v>
      </c>
      <c r="L131" s="96"/>
      <c r="M131" s="58"/>
      <c r="N131" s="60" t="s">
        <v>561</v>
      </c>
      <c r="O131" s="60" t="s">
        <v>195</v>
      </c>
      <c r="P131" s="88" t="s">
        <v>38</v>
      </c>
      <c r="Q131" s="88">
        <v>5</v>
      </c>
      <c r="R131" s="66">
        <v>45348</v>
      </c>
      <c r="S131" s="54">
        <v>45348</v>
      </c>
      <c r="T131" s="59" t="s">
        <v>19</v>
      </c>
      <c r="U131" s="100">
        <v>5</v>
      </c>
      <c r="V131" s="97">
        <v>0</v>
      </c>
      <c r="W131" s="88" t="s">
        <v>40</v>
      </c>
      <c r="X131" s="95" t="str">
        <f t="shared" si="16"/>
        <v>D1PEW-B-2Y0.9</v>
      </c>
      <c r="Y131" s="59" t="s">
        <v>32</v>
      </c>
      <c r="Z131" s="69"/>
    </row>
    <row r="132" spans="1:26" s="70" customFormat="1" ht="24.95" customHeight="1">
      <c r="A132" s="99"/>
      <c r="B132" s="99">
        <v>45323</v>
      </c>
      <c r="C132" s="94" t="s">
        <v>35</v>
      </c>
      <c r="D132" s="59" t="s">
        <v>20</v>
      </c>
      <c r="E132" s="45" t="str">
        <f t="shared" si="13"/>
        <v>11B</v>
      </c>
      <c r="F132" s="95" t="s">
        <v>24</v>
      </c>
      <c r="G132" s="22" t="s">
        <v>27</v>
      </c>
      <c r="H132" s="95">
        <v>0.8</v>
      </c>
      <c r="I132" s="59" t="s">
        <v>28</v>
      </c>
      <c r="J132" s="58" t="s">
        <v>562</v>
      </c>
      <c r="K132" s="58" t="s">
        <v>562</v>
      </c>
      <c r="L132" s="96" t="s">
        <v>60</v>
      </c>
      <c r="M132" s="58"/>
      <c r="N132" s="60" t="s">
        <v>563</v>
      </c>
      <c r="O132" s="23" t="s">
        <v>630</v>
      </c>
      <c r="P132" s="23" t="s">
        <v>631</v>
      </c>
      <c r="Q132" s="88">
        <v>3</v>
      </c>
      <c r="R132" s="66">
        <v>45338</v>
      </c>
      <c r="S132" s="54">
        <v>45348</v>
      </c>
      <c r="T132" s="59" t="s">
        <v>19</v>
      </c>
      <c r="U132" s="100">
        <v>3</v>
      </c>
      <c r="V132" s="97">
        <v>0</v>
      </c>
      <c r="W132" s="88" t="s">
        <v>40</v>
      </c>
      <c r="X132" s="95" t="str">
        <f t="shared" si="16"/>
        <v>2PEW0.8</v>
      </c>
      <c r="Y132" s="59" t="s">
        <v>32</v>
      </c>
      <c r="Z132" s="69"/>
    </row>
    <row r="133" spans="1:26" s="70" customFormat="1" ht="24.95" customHeight="1">
      <c r="A133" s="98"/>
      <c r="B133" s="99">
        <v>45323</v>
      </c>
      <c r="C133" s="94" t="s">
        <v>35</v>
      </c>
      <c r="D133" s="59" t="s">
        <v>20</v>
      </c>
      <c r="E133" s="14" t="str">
        <f t="shared" si="13"/>
        <v>12B</v>
      </c>
      <c r="F133" s="95" t="s">
        <v>529</v>
      </c>
      <c r="G133" s="3" t="s">
        <v>26</v>
      </c>
      <c r="H133" s="95">
        <v>1.6</v>
      </c>
      <c r="I133" s="59" t="s">
        <v>530</v>
      </c>
      <c r="J133" s="58" t="s">
        <v>564</v>
      </c>
      <c r="K133" s="58"/>
      <c r="L133" s="96" t="s">
        <v>565</v>
      </c>
      <c r="M133" s="58"/>
      <c r="N133" s="60" t="s">
        <v>566</v>
      </c>
      <c r="O133" s="60" t="s">
        <v>567</v>
      </c>
      <c r="P133" s="60" t="s">
        <v>568</v>
      </c>
      <c r="Q133" s="88">
        <v>5</v>
      </c>
      <c r="R133" s="66">
        <v>45346</v>
      </c>
      <c r="S133" s="54">
        <v>45348</v>
      </c>
      <c r="T133" s="59" t="s">
        <v>19</v>
      </c>
      <c r="U133" s="100">
        <v>5</v>
      </c>
      <c r="V133" s="97">
        <v>0</v>
      </c>
      <c r="W133" s="88" t="s">
        <v>40</v>
      </c>
      <c r="X133" s="95" t="str">
        <f t="shared" si="16"/>
        <v>1PEW1.6</v>
      </c>
      <c r="Y133" s="59" t="s">
        <v>32</v>
      </c>
      <c r="Z133" s="69"/>
    </row>
    <row r="134" spans="1:26" s="70" customFormat="1" ht="24.95" customHeight="1">
      <c r="A134" s="98"/>
      <c r="B134" s="99">
        <v>45323</v>
      </c>
      <c r="C134" s="94" t="s">
        <v>35</v>
      </c>
      <c r="D134" s="59" t="s">
        <v>20</v>
      </c>
      <c r="E134" s="14" t="str">
        <f t="shared" si="13"/>
        <v>V8A</v>
      </c>
      <c r="F134" s="95" t="s">
        <v>529</v>
      </c>
      <c r="G134" s="3" t="s">
        <v>26</v>
      </c>
      <c r="H134" s="95">
        <v>1.7</v>
      </c>
      <c r="I134" s="59" t="s">
        <v>530</v>
      </c>
      <c r="J134" s="58" t="s">
        <v>44</v>
      </c>
      <c r="K134" s="58"/>
      <c r="L134" s="96" t="s">
        <v>46</v>
      </c>
      <c r="M134" s="58"/>
      <c r="N134" s="60" t="s">
        <v>569</v>
      </c>
      <c r="O134" s="60" t="s">
        <v>176</v>
      </c>
      <c r="P134" s="88">
        <v>1</v>
      </c>
      <c r="Q134" s="88">
        <v>2</v>
      </c>
      <c r="R134" s="66">
        <v>45346</v>
      </c>
      <c r="S134" s="54">
        <v>45348</v>
      </c>
      <c r="T134" s="59" t="s">
        <v>19</v>
      </c>
      <c r="U134" s="100">
        <v>2</v>
      </c>
      <c r="V134" s="97">
        <v>0</v>
      </c>
      <c r="W134" s="88" t="s">
        <v>40</v>
      </c>
      <c r="X134" s="95" t="str">
        <f t="shared" si="16"/>
        <v>1PEW1.7</v>
      </c>
      <c r="Y134" s="59" t="s">
        <v>32</v>
      </c>
      <c r="Z134" s="69"/>
    </row>
    <row r="135" spans="1:26" s="70" customFormat="1" ht="24.95" customHeight="1">
      <c r="A135" s="98"/>
      <c r="B135" s="99">
        <v>45323</v>
      </c>
      <c r="C135" s="94" t="s">
        <v>35</v>
      </c>
      <c r="D135" s="59" t="s">
        <v>20</v>
      </c>
      <c r="E135" s="14" t="str">
        <f t="shared" si="13"/>
        <v>VOB</v>
      </c>
      <c r="F135" s="95" t="s">
        <v>259</v>
      </c>
      <c r="G135" s="15" t="s">
        <v>27</v>
      </c>
      <c r="H135" s="95">
        <v>0.56000000000000005</v>
      </c>
      <c r="I135" s="59" t="s">
        <v>31</v>
      </c>
      <c r="J135" s="58" t="s">
        <v>570</v>
      </c>
      <c r="K135" s="105" t="s">
        <v>571</v>
      </c>
      <c r="L135" s="96" t="s">
        <v>572</v>
      </c>
      <c r="M135" s="58"/>
      <c r="N135" s="60" t="s">
        <v>573</v>
      </c>
      <c r="O135" s="60" t="s">
        <v>30</v>
      </c>
      <c r="P135" s="88" t="s">
        <v>574</v>
      </c>
      <c r="Q135" s="88">
        <v>3</v>
      </c>
      <c r="R135" s="66">
        <v>45346</v>
      </c>
      <c r="S135" s="54">
        <v>45348</v>
      </c>
      <c r="T135" s="59" t="s">
        <v>19</v>
      </c>
      <c r="U135" s="100">
        <v>3</v>
      </c>
      <c r="V135" s="97">
        <v>0</v>
      </c>
      <c r="W135" s="88" t="s">
        <v>40</v>
      </c>
      <c r="X135" s="95" t="str">
        <f t="shared" si="16"/>
        <v>D1-PEW-B-2T0.56</v>
      </c>
      <c r="Y135" s="59" t="s">
        <v>32</v>
      </c>
      <c r="Z135" s="69"/>
    </row>
    <row r="136" spans="1:26" s="70" customFormat="1" ht="24.95" customHeight="1">
      <c r="A136" s="98"/>
      <c r="B136" s="99">
        <v>45323</v>
      </c>
      <c r="C136" s="94" t="s">
        <v>35</v>
      </c>
      <c r="D136" s="59" t="s">
        <v>20</v>
      </c>
      <c r="E136" s="14" t="str">
        <f t="shared" si="13"/>
        <v>12B</v>
      </c>
      <c r="F136" s="95" t="s">
        <v>529</v>
      </c>
      <c r="G136" s="3" t="s">
        <v>26</v>
      </c>
      <c r="H136" s="95">
        <v>1.6</v>
      </c>
      <c r="I136" s="59" t="s">
        <v>530</v>
      </c>
      <c r="J136" s="58" t="s">
        <v>575</v>
      </c>
      <c r="K136" s="58"/>
      <c r="L136" s="96" t="s">
        <v>565</v>
      </c>
      <c r="M136" s="58"/>
      <c r="N136" s="60" t="s">
        <v>531</v>
      </c>
      <c r="O136" s="60" t="s">
        <v>576</v>
      </c>
      <c r="P136" s="88" t="s">
        <v>577</v>
      </c>
      <c r="Q136" s="88">
        <v>7</v>
      </c>
      <c r="R136" s="66">
        <v>45346</v>
      </c>
      <c r="S136" s="54">
        <v>45348</v>
      </c>
      <c r="T136" s="59" t="s">
        <v>19</v>
      </c>
      <c r="U136" s="100">
        <v>7</v>
      </c>
      <c r="V136" s="97">
        <v>0</v>
      </c>
      <c r="W136" s="88" t="s">
        <v>40</v>
      </c>
      <c r="X136" s="95" t="str">
        <f t="shared" si="16"/>
        <v>1PEW1.6</v>
      </c>
      <c r="Y136" s="59" t="s">
        <v>32</v>
      </c>
      <c r="Z136" s="69"/>
    </row>
    <row r="137" spans="1:26" s="70" customFormat="1" ht="24.95" customHeight="1">
      <c r="A137" s="98"/>
      <c r="B137" s="99">
        <v>45323</v>
      </c>
      <c r="C137" s="94" t="s">
        <v>35</v>
      </c>
      <c r="D137" s="59" t="s">
        <v>20</v>
      </c>
      <c r="E137" s="14" t="str">
        <f t="shared" si="13"/>
        <v>V8A</v>
      </c>
      <c r="F137" s="95" t="s">
        <v>529</v>
      </c>
      <c r="G137" s="3" t="s">
        <v>26</v>
      </c>
      <c r="H137" s="95">
        <v>1.7</v>
      </c>
      <c r="I137" s="59" t="s">
        <v>530</v>
      </c>
      <c r="J137" s="58" t="s">
        <v>578</v>
      </c>
      <c r="K137" s="58"/>
      <c r="L137" s="96" t="s">
        <v>579</v>
      </c>
      <c r="M137" s="58"/>
      <c r="N137" s="60" t="s">
        <v>580</v>
      </c>
      <c r="O137" s="60" t="s">
        <v>581</v>
      </c>
      <c r="P137" s="88">
        <v>1</v>
      </c>
      <c r="Q137" s="88">
        <v>2</v>
      </c>
      <c r="R137" s="66">
        <v>45346</v>
      </c>
      <c r="S137" s="54">
        <v>45348</v>
      </c>
      <c r="T137" s="59" t="s">
        <v>19</v>
      </c>
      <c r="U137" s="100">
        <v>0</v>
      </c>
      <c r="V137" s="97">
        <v>2</v>
      </c>
      <c r="W137" s="88" t="s">
        <v>40</v>
      </c>
      <c r="X137" s="95" t="str">
        <f t="shared" si="16"/>
        <v>1PEW1.7</v>
      </c>
      <c r="Y137" s="59" t="s">
        <v>182</v>
      </c>
      <c r="Z137" s="69"/>
    </row>
    <row r="138" spans="1:26" s="70" customFormat="1" ht="24.95" customHeight="1">
      <c r="A138" s="98"/>
      <c r="B138" s="99">
        <v>45323</v>
      </c>
      <c r="C138" s="94" t="s">
        <v>35</v>
      </c>
      <c r="D138" s="59" t="s">
        <v>20</v>
      </c>
      <c r="E138" s="14" t="str">
        <f t="shared" si="13"/>
        <v>V8C</v>
      </c>
      <c r="F138" s="95" t="s">
        <v>535</v>
      </c>
      <c r="G138" s="15" t="s">
        <v>27</v>
      </c>
      <c r="H138" s="95">
        <v>0.57999999999999996</v>
      </c>
      <c r="I138" s="59" t="s">
        <v>536</v>
      </c>
      <c r="J138" s="58" t="s">
        <v>609</v>
      </c>
      <c r="K138" s="58" t="s">
        <v>609</v>
      </c>
      <c r="L138" s="109" t="s">
        <v>610</v>
      </c>
      <c r="M138" s="58"/>
      <c r="N138" s="23" t="s">
        <v>611</v>
      </c>
      <c r="O138" s="23" t="s">
        <v>30</v>
      </c>
      <c r="P138" s="45" t="s">
        <v>612</v>
      </c>
      <c r="Q138" s="88">
        <v>3</v>
      </c>
      <c r="R138" s="66">
        <v>45349</v>
      </c>
      <c r="S138" s="54">
        <v>45351</v>
      </c>
      <c r="T138" s="22" t="s">
        <v>19</v>
      </c>
      <c r="U138" s="100">
        <v>3</v>
      </c>
      <c r="V138" s="97">
        <v>0</v>
      </c>
      <c r="W138" s="45" t="s">
        <v>40</v>
      </c>
      <c r="X138" s="95" t="str">
        <f>F138&amp;H138</f>
        <v>D2IDW4A-10.58</v>
      </c>
      <c r="Y138" s="22" t="s">
        <v>32</v>
      </c>
      <c r="Z138" s="69"/>
    </row>
    <row r="139" spans="1:26" s="70" customFormat="1" ht="24.95" customHeight="1">
      <c r="A139" s="98"/>
      <c r="B139" s="99">
        <v>45323</v>
      </c>
      <c r="C139" s="94" t="s">
        <v>35</v>
      </c>
      <c r="D139" s="59" t="s">
        <v>20</v>
      </c>
      <c r="E139" s="14" t="str">
        <f t="shared" si="13"/>
        <v>V8A</v>
      </c>
      <c r="F139" s="111" t="s">
        <v>529</v>
      </c>
      <c r="G139" s="3" t="s">
        <v>26</v>
      </c>
      <c r="H139" s="95">
        <v>1.7</v>
      </c>
      <c r="I139" s="22" t="s">
        <v>530</v>
      </c>
      <c r="J139" s="21" t="s">
        <v>412</v>
      </c>
      <c r="K139" s="21" t="s">
        <v>208</v>
      </c>
      <c r="L139" s="109"/>
      <c r="M139" s="58"/>
      <c r="N139" s="23" t="s">
        <v>632</v>
      </c>
      <c r="O139" s="23" t="s">
        <v>30</v>
      </c>
      <c r="P139" s="45">
        <v>1</v>
      </c>
      <c r="Q139" s="88">
        <v>1</v>
      </c>
      <c r="R139" s="66">
        <v>45346</v>
      </c>
      <c r="S139" s="54">
        <v>45359</v>
      </c>
      <c r="T139" s="22" t="s">
        <v>19</v>
      </c>
      <c r="U139" s="100">
        <v>1</v>
      </c>
      <c r="V139" s="97">
        <v>0</v>
      </c>
      <c r="W139" s="45" t="s">
        <v>40</v>
      </c>
      <c r="X139" s="95" t="str">
        <f>F139&amp;H139</f>
        <v>1PEW1.7</v>
      </c>
      <c r="Y139" s="22" t="s">
        <v>32</v>
      </c>
      <c r="Z139" s="69"/>
    </row>
    <row r="140" spans="1:26" s="70" customFormat="1" ht="24.95" customHeight="1">
      <c r="A140" s="98"/>
      <c r="B140" s="99">
        <v>45323</v>
      </c>
      <c r="C140" s="94" t="s">
        <v>51</v>
      </c>
      <c r="D140" s="59" t="s">
        <v>20</v>
      </c>
      <c r="E140" s="14" t="str">
        <f>IF(B137="","",LEFT(N140,3))</f>
        <v>H5A</v>
      </c>
      <c r="F140" s="95" t="s">
        <v>429</v>
      </c>
      <c r="G140" s="3" t="s">
        <v>26</v>
      </c>
      <c r="H140" s="95">
        <v>0.42</v>
      </c>
      <c r="I140" s="59" t="s">
        <v>430</v>
      </c>
      <c r="J140" s="58" t="s">
        <v>431</v>
      </c>
      <c r="K140" s="58" t="s">
        <v>432</v>
      </c>
      <c r="L140" s="96" t="s">
        <v>433</v>
      </c>
      <c r="M140" s="58"/>
      <c r="N140" s="60" t="s">
        <v>434</v>
      </c>
      <c r="O140" s="60" t="s">
        <v>263</v>
      </c>
      <c r="P140" s="88">
        <v>1</v>
      </c>
      <c r="Q140" s="88">
        <v>1</v>
      </c>
      <c r="R140" s="66">
        <v>45343</v>
      </c>
      <c r="S140" s="54">
        <v>45345</v>
      </c>
      <c r="T140" s="59" t="s">
        <v>19</v>
      </c>
      <c r="U140" s="100">
        <v>1</v>
      </c>
      <c r="V140" s="97">
        <v>0</v>
      </c>
      <c r="W140" s="88" t="s">
        <v>40</v>
      </c>
      <c r="X140" s="95" t="str">
        <f t="shared" si="15"/>
        <v>2-ATZ-3000.42</v>
      </c>
      <c r="Y140" s="59" t="s">
        <v>32</v>
      </c>
      <c r="Z140" s="69"/>
    </row>
    <row r="141" spans="1:26" s="70" customFormat="1" ht="24.95" customHeight="1">
      <c r="A141" s="98"/>
      <c r="B141" s="99">
        <v>45323</v>
      </c>
      <c r="C141" s="94" t="s">
        <v>51</v>
      </c>
      <c r="D141" s="59" t="s">
        <v>20</v>
      </c>
      <c r="E141" s="14" t="str">
        <f t="shared" si="13"/>
        <v>H5A</v>
      </c>
      <c r="F141" s="95" t="s">
        <v>435</v>
      </c>
      <c r="G141" s="3" t="s">
        <v>26</v>
      </c>
      <c r="H141" s="95">
        <v>0.27</v>
      </c>
      <c r="I141" s="59" t="s">
        <v>302</v>
      </c>
      <c r="J141" s="58" t="s">
        <v>53</v>
      </c>
      <c r="K141" s="58"/>
      <c r="L141" s="96" t="s">
        <v>436</v>
      </c>
      <c r="M141" s="58"/>
      <c r="N141" s="60" t="s">
        <v>437</v>
      </c>
      <c r="O141" s="60" t="s">
        <v>176</v>
      </c>
      <c r="P141" s="88">
        <v>1</v>
      </c>
      <c r="Q141" s="88">
        <v>2</v>
      </c>
      <c r="R141" s="66">
        <v>45338</v>
      </c>
      <c r="S141" s="54">
        <v>45344</v>
      </c>
      <c r="T141" s="59" t="s">
        <v>19</v>
      </c>
      <c r="U141" s="100">
        <v>2</v>
      </c>
      <c r="V141" s="97">
        <v>0</v>
      </c>
      <c r="W141" s="88" t="s">
        <v>40</v>
      </c>
      <c r="X141" s="95" t="str">
        <f t="shared" si="15"/>
        <v>2DHWH0.27</v>
      </c>
      <c r="Y141" s="59" t="s">
        <v>32</v>
      </c>
      <c r="Z141" s="69"/>
    </row>
    <row r="142" spans="1:26" s="70" customFormat="1" ht="24.95" customHeight="1">
      <c r="A142" s="98"/>
      <c r="B142" s="99">
        <v>45323</v>
      </c>
      <c r="C142" s="94" t="s">
        <v>51</v>
      </c>
      <c r="D142" s="59" t="s">
        <v>20</v>
      </c>
      <c r="E142" s="14" t="str">
        <f t="shared" si="13"/>
        <v>H1A</v>
      </c>
      <c r="F142" s="95" t="s">
        <v>52</v>
      </c>
      <c r="G142" s="3" t="s">
        <v>26</v>
      </c>
      <c r="H142" s="95">
        <v>0.26</v>
      </c>
      <c r="I142" s="59" t="s">
        <v>43</v>
      </c>
      <c r="J142" s="58" t="s">
        <v>53</v>
      </c>
      <c r="K142" s="58" t="s">
        <v>222</v>
      </c>
      <c r="L142" s="96" t="s">
        <v>438</v>
      </c>
      <c r="M142" s="58"/>
      <c r="N142" s="60" t="s">
        <v>439</v>
      </c>
      <c r="O142" s="60" t="s">
        <v>30</v>
      </c>
      <c r="P142" s="88">
        <v>3</v>
      </c>
      <c r="Q142" s="88">
        <v>1</v>
      </c>
      <c r="R142" s="66">
        <v>45338</v>
      </c>
      <c r="S142" s="54">
        <v>45344</v>
      </c>
      <c r="T142" s="59" t="s">
        <v>19</v>
      </c>
      <c r="U142" s="100">
        <v>1</v>
      </c>
      <c r="V142" s="97">
        <v>0</v>
      </c>
      <c r="W142" s="88" t="s">
        <v>40</v>
      </c>
      <c r="X142" s="95" t="str">
        <f t="shared" si="15"/>
        <v>D2IDW4-B-20.26</v>
      </c>
      <c r="Y142" s="59" t="s">
        <v>32</v>
      </c>
      <c r="Z142" s="69"/>
    </row>
    <row r="143" spans="1:26" s="70" customFormat="1" ht="24.95" customHeight="1">
      <c r="A143" s="98"/>
      <c r="B143" s="99">
        <v>45323</v>
      </c>
      <c r="C143" s="94" t="s">
        <v>51</v>
      </c>
      <c r="D143" s="59" t="s">
        <v>20</v>
      </c>
      <c r="E143" s="14" t="str">
        <f t="shared" si="13"/>
        <v>H1A</v>
      </c>
      <c r="F143" s="95" t="s">
        <v>52</v>
      </c>
      <c r="G143" s="15" t="s">
        <v>27</v>
      </c>
      <c r="H143" s="95">
        <v>0.26</v>
      </c>
      <c r="I143" s="59" t="s">
        <v>43</v>
      </c>
      <c r="J143" s="58" t="s">
        <v>440</v>
      </c>
      <c r="K143" s="58" t="s">
        <v>441</v>
      </c>
      <c r="L143" s="102" t="s">
        <v>442</v>
      </c>
      <c r="M143" s="58"/>
      <c r="N143" s="60" t="s">
        <v>443</v>
      </c>
      <c r="O143" s="60" t="s">
        <v>30</v>
      </c>
      <c r="P143" s="88" t="s">
        <v>38</v>
      </c>
      <c r="Q143" s="88">
        <v>5</v>
      </c>
      <c r="R143" s="66">
        <v>45340</v>
      </c>
      <c r="S143" s="54">
        <v>45345</v>
      </c>
      <c r="T143" s="59" t="s">
        <v>19</v>
      </c>
      <c r="U143" s="100">
        <v>5</v>
      </c>
      <c r="V143" s="97">
        <v>0</v>
      </c>
      <c r="W143" s="88" t="s">
        <v>40</v>
      </c>
      <c r="X143" s="95" t="str">
        <f t="shared" si="15"/>
        <v>D2IDW4-B-20.26</v>
      </c>
      <c r="Y143" s="59" t="s">
        <v>32</v>
      </c>
      <c r="Z143" s="69"/>
    </row>
    <row r="144" spans="1:26" s="70" customFormat="1" ht="24.95" customHeight="1">
      <c r="A144" s="98"/>
      <c r="B144" s="99">
        <v>45323</v>
      </c>
      <c r="C144" s="94" t="s">
        <v>51</v>
      </c>
      <c r="D144" s="59" t="s">
        <v>20</v>
      </c>
      <c r="E144" s="14" t="str">
        <f t="shared" si="13"/>
        <v>H1B</v>
      </c>
      <c r="F144" s="95" t="s">
        <v>52</v>
      </c>
      <c r="G144" s="3" t="s">
        <v>26</v>
      </c>
      <c r="H144" s="95">
        <v>0.26</v>
      </c>
      <c r="I144" s="59" t="s">
        <v>43</v>
      </c>
      <c r="J144" s="58" t="s">
        <v>444</v>
      </c>
      <c r="K144" s="58" t="s">
        <v>445</v>
      </c>
      <c r="L144" s="96" t="s">
        <v>308</v>
      </c>
      <c r="M144" s="58"/>
      <c r="N144" s="60" t="s">
        <v>446</v>
      </c>
      <c r="O144" s="60" t="s">
        <v>176</v>
      </c>
      <c r="P144" s="88">
        <v>2</v>
      </c>
      <c r="Q144" s="88">
        <v>2</v>
      </c>
      <c r="R144" s="66">
        <v>45324</v>
      </c>
      <c r="S144" s="54">
        <v>45331</v>
      </c>
      <c r="T144" s="59" t="s">
        <v>19</v>
      </c>
      <c r="U144" s="100">
        <v>2</v>
      </c>
      <c r="V144" s="97">
        <v>0</v>
      </c>
      <c r="W144" s="88" t="s">
        <v>40</v>
      </c>
      <c r="X144" s="95" t="str">
        <f t="shared" si="15"/>
        <v>D2IDW4-B-20.26</v>
      </c>
      <c r="Y144" s="59" t="s">
        <v>32</v>
      </c>
      <c r="Z144" s="69"/>
    </row>
    <row r="145" spans="1:26" s="70" customFormat="1" ht="24.95" customHeight="1">
      <c r="A145" s="98"/>
      <c r="B145" s="99">
        <v>45323</v>
      </c>
      <c r="C145" s="94" t="s">
        <v>51</v>
      </c>
      <c r="D145" s="59" t="s">
        <v>20</v>
      </c>
      <c r="E145" s="14" t="str">
        <f t="shared" si="13"/>
        <v>H1A</v>
      </c>
      <c r="F145" s="95" t="s">
        <v>52</v>
      </c>
      <c r="G145" s="3" t="s">
        <v>26</v>
      </c>
      <c r="H145" s="95">
        <v>0.26</v>
      </c>
      <c r="I145" s="59" t="s">
        <v>43</v>
      </c>
      <c r="J145" s="58" t="s">
        <v>447</v>
      </c>
      <c r="K145" s="58" t="s">
        <v>222</v>
      </c>
      <c r="L145" s="96" t="s">
        <v>225</v>
      </c>
      <c r="M145" s="58"/>
      <c r="N145" s="60" t="s">
        <v>448</v>
      </c>
      <c r="O145" s="60" t="s">
        <v>176</v>
      </c>
      <c r="P145" s="88" t="s">
        <v>449</v>
      </c>
      <c r="Q145" s="88">
        <v>3</v>
      </c>
      <c r="R145" s="66">
        <v>45328</v>
      </c>
      <c r="S145" s="54">
        <v>45331</v>
      </c>
      <c r="T145" s="59" t="s">
        <v>19</v>
      </c>
      <c r="U145" s="100">
        <v>3</v>
      </c>
      <c r="V145" s="97">
        <v>0</v>
      </c>
      <c r="W145" s="88" t="s">
        <v>40</v>
      </c>
      <c r="X145" s="95" t="str">
        <f t="shared" si="15"/>
        <v>D2IDW4-B-20.26</v>
      </c>
      <c r="Y145" s="59" t="s">
        <v>32</v>
      </c>
      <c r="Z145" s="69"/>
    </row>
    <row r="146" spans="1:26" s="70" customFormat="1" ht="24.95" customHeight="1">
      <c r="A146" s="98"/>
      <c r="B146" s="99">
        <v>45323</v>
      </c>
      <c r="C146" s="94" t="s">
        <v>51</v>
      </c>
      <c r="D146" s="59" t="s">
        <v>20</v>
      </c>
      <c r="E146" s="14" t="str">
        <f t="shared" si="13"/>
        <v>H1A</v>
      </c>
      <c r="F146" s="95" t="s">
        <v>52</v>
      </c>
      <c r="G146" s="3" t="s">
        <v>26</v>
      </c>
      <c r="H146" s="95">
        <v>0.26</v>
      </c>
      <c r="I146" s="59" t="s">
        <v>43</v>
      </c>
      <c r="J146" s="58" t="s">
        <v>447</v>
      </c>
      <c r="K146" s="58" t="s">
        <v>450</v>
      </c>
      <c r="L146" s="96" t="s">
        <v>451</v>
      </c>
      <c r="M146" s="58"/>
      <c r="N146" s="60" t="s">
        <v>452</v>
      </c>
      <c r="O146" s="60" t="s">
        <v>30</v>
      </c>
      <c r="P146" s="88">
        <v>1.3</v>
      </c>
      <c r="Q146" s="88">
        <v>2</v>
      </c>
      <c r="R146" s="66">
        <v>45324</v>
      </c>
      <c r="S146" s="54">
        <v>45331</v>
      </c>
      <c r="T146" s="59" t="s">
        <v>19</v>
      </c>
      <c r="U146" s="100">
        <v>2</v>
      </c>
      <c r="V146" s="97">
        <v>0</v>
      </c>
      <c r="W146" s="88" t="s">
        <v>40</v>
      </c>
      <c r="X146" s="95" t="str">
        <f t="shared" si="15"/>
        <v>D2IDW4-B-20.26</v>
      </c>
      <c r="Y146" s="59" t="s">
        <v>32</v>
      </c>
      <c r="Z146" s="69"/>
    </row>
    <row r="147" spans="1:26" s="70" customFormat="1" ht="24.95" customHeight="1">
      <c r="A147" s="98"/>
      <c r="B147" s="99">
        <v>45323</v>
      </c>
      <c r="C147" s="94" t="s">
        <v>51</v>
      </c>
      <c r="D147" s="59" t="s">
        <v>20</v>
      </c>
      <c r="E147" s="14" t="str">
        <f t="shared" si="13"/>
        <v>H1A</v>
      </c>
      <c r="F147" s="95" t="s">
        <v>52</v>
      </c>
      <c r="G147" s="3" t="s">
        <v>26</v>
      </c>
      <c r="H147" s="95">
        <v>0.26</v>
      </c>
      <c r="I147" s="59" t="s">
        <v>43</v>
      </c>
      <c r="J147" s="58" t="s">
        <v>221</v>
      </c>
      <c r="K147" s="58" t="s">
        <v>453</v>
      </c>
      <c r="L147" s="96" t="s">
        <v>454</v>
      </c>
      <c r="M147" s="58"/>
      <c r="N147" s="60" t="s">
        <v>455</v>
      </c>
      <c r="O147" s="60" t="s">
        <v>29</v>
      </c>
      <c r="P147" s="88">
        <v>3</v>
      </c>
      <c r="Q147" s="88">
        <v>1</v>
      </c>
      <c r="R147" s="66">
        <v>45325</v>
      </c>
      <c r="S147" s="54">
        <v>45331</v>
      </c>
      <c r="T147" s="59" t="s">
        <v>19</v>
      </c>
      <c r="U147" s="100">
        <v>1</v>
      </c>
      <c r="V147" s="97">
        <v>0</v>
      </c>
      <c r="W147" s="88" t="s">
        <v>40</v>
      </c>
      <c r="X147" s="95" t="str">
        <f t="shared" si="15"/>
        <v>D2IDW4-B-20.26</v>
      </c>
      <c r="Y147" s="59" t="s">
        <v>32</v>
      </c>
      <c r="Z147" s="69"/>
    </row>
    <row r="148" spans="1:26" s="70" customFormat="1" ht="24.95" customHeight="1">
      <c r="A148" s="98"/>
      <c r="B148" s="99">
        <v>45323</v>
      </c>
      <c r="C148" s="94" t="s">
        <v>51</v>
      </c>
      <c r="D148" s="59" t="s">
        <v>20</v>
      </c>
      <c r="E148" s="14" t="str">
        <f t="shared" si="13"/>
        <v>H1A</v>
      </c>
      <c r="F148" s="95" t="s">
        <v>52</v>
      </c>
      <c r="G148" s="3" t="s">
        <v>26</v>
      </c>
      <c r="H148" s="95">
        <v>0.26</v>
      </c>
      <c r="I148" s="59" t="s">
        <v>43</v>
      </c>
      <c r="J148" s="58" t="s">
        <v>447</v>
      </c>
      <c r="K148" s="58"/>
      <c r="L148" s="96" t="s">
        <v>456</v>
      </c>
      <c r="M148" s="58"/>
      <c r="N148" s="60" t="s">
        <v>455</v>
      </c>
      <c r="O148" s="60" t="s">
        <v>30</v>
      </c>
      <c r="P148" s="88">
        <v>3.4</v>
      </c>
      <c r="Q148" s="88">
        <v>2</v>
      </c>
      <c r="R148" s="66">
        <v>45324</v>
      </c>
      <c r="S148" s="54">
        <v>45331</v>
      </c>
      <c r="T148" s="59" t="s">
        <v>19</v>
      </c>
      <c r="U148" s="100">
        <v>2</v>
      </c>
      <c r="V148" s="97">
        <v>0</v>
      </c>
      <c r="W148" s="88" t="s">
        <v>40</v>
      </c>
      <c r="X148" s="95" t="str">
        <f t="shared" si="15"/>
        <v>D2IDW4-B-20.26</v>
      </c>
      <c r="Y148" s="59" t="s">
        <v>32</v>
      </c>
      <c r="Z148" s="69"/>
    </row>
    <row r="149" spans="1:26" s="70" customFormat="1" ht="24.95" customHeight="1">
      <c r="A149" s="98"/>
      <c r="B149" s="99">
        <v>45323</v>
      </c>
      <c r="C149" s="94" t="s">
        <v>51</v>
      </c>
      <c r="D149" s="59" t="s">
        <v>20</v>
      </c>
      <c r="E149" s="14" t="str">
        <f t="shared" si="13"/>
        <v>H1A</v>
      </c>
      <c r="F149" s="95" t="s">
        <v>52</v>
      </c>
      <c r="G149" s="3" t="s">
        <v>26</v>
      </c>
      <c r="H149" s="95">
        <v>0.26</v>
      </c>
      <c r="I149" s="59" t="s">
        <v>43</v>
      </c>
      <c r="J149" s="58" t="s">
        <v>447</v>
      </c>
      <c r="K149" s="58" t="s">
        <v>457</v>
      </c>
      <c r="L149" s="96" t="s">
        <v>458</v>
      </c>
      <c r="M149" s="58"/>
      <c r="N149" s="60" t="s">
        <v>459</v>
      </c>
      <c r="O149" s="60" t="s">
        <v>176</v>
      </c>
      <c r="P149" s="60" t="s">
        <v>460</v>
      </c>
      <c r="Q149" s="88">
        <v>3</v>
      </c>
      <c r="R149" s="66">
        <v>45326</v>
      </c>
      <c r="S149" s="54">
        <v>45331</v>
      </c>
      <c r="T149" s="59" t="s">
        <v>19</v>
      </c>
      <c r="U149" s="100">
        <v>3</v>
      </c>
      <c r="V149" s="97">
        <v>0</v>
      </c>
      <c r="W149" s="88" t="s">
        <v>40</v>
      </c>
      <c r="X149" s="95" t="str">
        <f t="shared" si="15"/>
        <v>D2IDW4-B-20.26</v>
      </c>
      <c r="Y149" s="59" t="s">
        <v>32</v>
      </c>
      <c r="Z149" s="69"/>
    </row>
    <row r="150" spans="1:26" s="70" customFormat="1" ht="24.95" customHeight="1">
      <c r="A150" s="98"/>
      <c r="B150" s="99">
        <v>45323</v>
      </c>
      <c r="C150" s="94" t="s">
        <v>51</v>
      </c>
      <c r="D150" s="59" t="s">
        <v>20</v>
      </c>
      <c r="E150" s="14" t="str">
        <f t="shared" si="13"/>
        <v>H1A</v>
      </c>
      <c r="F150" s="95" t="s">
        <v>52</v>
      </c>
      <c r="G150" s="3" t="s">
        <v>26</v>
      </c>
      <c r="H150" s="95">
        <v>0.26</v>
      </c>
      <c r="I150" s="59" t="s">
        <v>43</v>
      </c>
      <c r="J150" s="58" t="s">
        <v>221</v>
      </c>
      <c r="K150" s="58"/>
      <c r="L150" s="58" t="s">
        <v>467</v>
      </c>
      <c r="M150" s="58"/>
      <c r="N150" s="60" t="s">
        <v>468</v>
      </c>
      <c r="O150" s="60" t="s">
        <v>29</v>
      </c>
      <c r="P150" s="60" t="s">
        <v>250</v>
      </c>
      <c r="Q150" s="88">
        <v>1</v>
      </c>
      <c r="R150" s="66">
        <v>45332</v>
      </c>
      <c r="S150" s="54">
        <v>45338</v>
      </c>
      <c r="T150" s="59" t="s">
        <v>19</v>
      </c>
      <c r="U150" s="100">
        <v>1</v>
      </c>
      <c r="V150" s="97">
        <v>0</v>
      </c>
      <c r="W150" s="88" t="s">
        <v>40</v>
      </c>
      <c r="X150" s="95" t="str">
        <f t="shared" si="15"/>
        <v>D2IDW4-B-20.26</v>
      </c>
      <c r="Y150" s="59" t="s">
        <v>32</v>
      </c>
      <c r="Z150" s="69"/>
    </row>
    <row r="151" spans="1:26" s="70" customFormat="1" ht="24.95" customHeight="1">
      <c r="A151" s="98"/>
      <c r="B151" s="99">
        <v>45323</v>
      </c>
      <c r="C151" s="94" t="s">
        <v>51</v>
      </c>
      <c r="D151" s="59" t="s">
        <v>20</v>
      </c>
      <c r="E151" s="14" t="str">
        <f t="shared" si="13"/>
        <v>H1A</v>
      </c>
      <c r="F151" s="95" t="s">
        <v>52</v>
      </c>
      <c r="G151" s="3" t="s">
        <v>26</v>
      </c>
      <c r="H151" s="95">
        <v>0.26</v>
      </c>
      <c r="I151" s="59" t="s">
        <v>43</v>
      </c>
      <c r="J151" s="58" t="s">
        <v>469</v>
      </c>
      <c r="K151" s="58" t="s">
        <v>470</v>
      </c>
      <c r="L151" s="104" t="s">
        <v>471</v>
      </c>
      <c r="M151" s="58"/>
      <c r="N151" s="60" t="s">
        <v>472</v>
      </c>
      <c r="O151" s="60" t="s">
        <v>30</v>
      </c>
      <c r="P151" s="88">
        <v>1.3</v>
      </c>
      <c r="Q151" s="88">
        <v>2</v>
      </c>
      <c r="R151" s="66">
        <v>45333</v>
      </c>
      <c r="S151" s="54">
        <v>45338</v>
      </c>
      <c r="T151" s="59" t="s">
        <v>19</v>
      </c>
      <c r="U151" s="100">
        <v>2</v>
      </c>
      <c r="V151" s="97">
        <v>0</v>
      </c>
      <c r="W151" s="88" t="s">
        <v>40</v>
      </c>
      <c r="X151" s="95" t="str">
        <f t="shared" si="15"/>
        <v>D2IDW4-B-20.26</v>
      </c>
      <c r="Y151" s="59" t="s">
        <v>32</v>
      </c>
      <c r="Z151" s="69"/>
    </row>
    <row r="152" spans="1:26" s="70" customFormat="1" ht="24.95" customHeight="1">
      <c r="A152" s="98"/>
      <c r="B152" s="99">
        <v>45323</v>
      </c>
      <c r="C152" s="94" t="s">
        <v>51</v>
      </c>
      <c r="D152" s="59" t="s">
        <v>20</v>
      </c>
      <c r="E152" s="14" t="str">
        <f t="shared" si="13"/>
        <v>H1A</v>
      </c>
      <c r="F152" s="95" t="s">
        <v>52</v>
      </c>
      <c r="G152" s="3" t="s">
        <v>26</v>
      </c>
      <c r="H152" s="95">
        <v>0.26</v>
      </c>
      <c r="I152" s="59" t="s">
        <v>43</v>
      </c>
      <c r="J152" s="58" t="s">
        <v>474</v>
      </c>
      <c r="K152" s="58" t="s">
        <v>473</v>
      </c>
      <c r="L152" s="96" t="s">
        <v>475</v>
      </c>
      <c r="M152" s="58"/>
      <c r="N152" s="60" t="s">
        <v>468</v>
      </c>
      <c r="O152" s="60" t="s">
        <v>30</v>
      </c>
      <c r="P152" s="88">
        <v>1.3</v>
      </c>
      <c r="Q152" s="88">
        <v>2</v>
      </c>
      <c r="R152" s="66">
        <v>45331</v>
      </c>
      <c r="S152" s="54">
        <v>45338</v>
      </c>
      <c r="T152" s="59" t="s">
        <v>19</v>
      </c>
      <c r="U152" s="100">
        <v>2</v>
      </c>
      <c r="V152" s="97">
        <v>0</v>
      </c>
      <c r="W152" s="88" t="s">
        <v>40</v>
      </c>
      <c r="X152" s="95" t="str">
        <f t="shared" si="15"/>
        <v>D2IDW4-B-20.26</v>
      </c>
      <c r="Y152" s="59" t="s">
        <v>32</v>
      </c>
      <c r="Z152" s="69"/>
    </row>
    <row r="153" spans="1:26" s="70" customFormat="1" ht="24.95" customHeight="1">
      <c r="A153" s="98"/>
      <c r="B153" s="99">
        <v>45323</v>
      </c>
      <c r="C153" s="94" t="s">
        <v>51</v>
      </c>
      <c r="D153" s="59" t="s">
        <v>20</v>
      </c>
      <c r="E153" s="14" t="str">
        <f t="shared" si="13"/>
        <v>H1B</v>
      </c>
      <c r="F153" s="95" t="s">
        <v>52</v>
      </c>
      <c r="G153" s="3" t="s">
        <v>26</v>
      </c>
      <c r="H153" s="95">
        <v>0.26</v>
      </c>
      <c r="I153" s="59" t="s">
        <v>43</v>
      </c>
      <c r="J153" s="58" t="s">
        <v>53</v>
      </c>
      <c r="K153" s="58"/>
      <c r="L153" s="96" t="s">
        <v>476</v>
      </c>
      <c r="M153" s="58"/>
      <c r="N153" s="60" t="s">
        <v>477</v>
      </c>
      <c r="O153" s="60" t="s">
        <v>30</v>
      </c>
      <c r="P153" s="88">
        <v>5</v>
      </c>
      <c r="Q153" s="88">
        <v>1</v>
      </c>
      <c r="R153" s="66">
        <v>45334</v>
      </c>
      <c r="S153" s="54">
        <v>45338</v>
      </c>
      <c r="T153" s="59" t="s">
        <v>19</v>
      </c>
      <c r="U153" s="100">
        <v>1</v>
      </c>
      <c r="V153" s="97">
        <v>0</v>
      </c>
      <c r="W153" s="88" t="s">
        <v>40</v>
      </c>
      <c r="X153" s="95" t="str">
        <f t="shared" si="15"/>
        <v>D2IDW4-B-20.26</v>
      </c>
      <c r="Y153" s="59" t="s">
        <v>32</v>
      </c>
      <c r="Z153" s="69"/>
    </row>
    <row r="154" spans="1:26" s="70" customFormat="1" ht="24.95" customHeight="1">
      <c r="A154" s="98"/>
      <c r="B154" s="99">
        <v>45323</v>
      </c>
      <c r="C154" s="94" t="s">
        <v>51</v>
      </c>
      <c r="D154" s="59" t="s">
        <v>20</v>
      </c>
      <c r="E154" s="14" t="str">
        <f t="shared" si="13"/>
        <v>H1B</v>
      </c>
      <c r="F154" s="95" t="s">
        <v>52</v>
      </c>
      <c r="G154" s="3" t="s">
        <v>26</v>
      </c>
      <c r="H154" s="95">
        <v>0.26</v>
      </c>
      <c r="I154" s="59" t="s">
        <v>43</v>
      </c>
      <c r="J154" s="58" t="s">
        <v>478</v>
      </c>
      <c r="K154" s="58" t="s">
        <v>479</v>
      </c>
      <c r="L154" s="96" t="s">
        <v>480</v>
      </c>
      <c r="M154" s="58"/>
      <c r="N154" s="60" t="s">
        <v>481</v>
      </c>
      <c r="O154" s="60" t="s">
        <v>176</v>
      </c>
      <c r="P154" s="88">
        <v>2</v>
      </c>
      <c r="Q154" s="88">
        <v>2</v>
      </c>
      <c r="R154" s="66">
        <v>45329</v>
      </c>
      <c r="S154" s="54">
        <v>45338</v>
      </c>
      <c r="T154" s="59" t="s">
        <v>19</v>
      </c>
      <c r="U154" s="100">
        <v>2</v>
      </c>
      <c r="V154" s="97">
        <v>0</v>
      </c>
      <c r="W154" s="88" t="s">
        <v>40</v>
      </c>
      <c r="X154" s="95" t="str">
        <f t="shared" si="15"/>
        <v>D2IDW4-B-20.26</v>
      </c>
      <c r="Y154" s="59" t="s">
        <v>32</v>
      </c>
      <c r="Z154" s="69"/>
    </row>
    <row r="155" spans="1:26" s="70" customFormat="1" ht="24.95" customHeight="1">
      <c r="A155" s="98"/>
      <c r="B155" s="99">
        <v>45323</v>
      </c>
      <c r="C155" s="94" t="s">
        <v>51</v>
      </c>
      <c r="D155" s="59" t="s">
        <v>20</v>
      </c>
      <c r="E155" s="14" t="str">
        <f t="shared" si="13"/>
        <v>H5A</v>
      </c>
      <c r="F155" s="95" t="s">
        <v>482</v>
      </c>
      <c r="G155" s="3" t="s">
        <v>26</v>
      </c>
      <c r="H155" s="95">
        <v>0.21</v>
      </c>
      <c r="I155" s="59" t="s">
        <v>25</v>
      </c>
      <c r="J155" s="58" t="s">
        <v>53</v>
      </c>
      <c r="K155" s="58"/>
      <c r="L155" s="104" t="s">
        <v>483</v>
      </c>
      <c r="M155" s="58"/>
      <c r="N155" s="60" t="s">
        <v>484</v>
      </c>
      <c r="O155" s="60" t="s">
        <v>485</v>
      </c>
      <c r="P155" s="88">
        <v>1</v>
      </c>
      <c r="Q155" s="88">
        <v>3</v>
      </c>
      <c r="R155" s="66">
        <v>45332</v>
      </c>
      <c r="S155" s="54">
        <v>45338</v>
      </c>
      <c r="T155" s="59" t="s">
        <v>19</v>
      </c>
      <c r="U155" s="100">
        <v>3</v>
      </c>
      <c r="V155" s="97">
        <v>0</v>
      </c>
      <c r="W155" s="88" t="s">
        <v>40</v>
      </c>
      <c r="X155" s="95" t="str">
        <f t="shared" si="15"/>
        <v>2AIW0.21</v>
      </c>
      <c r="Y155" s="59" t="s">
        <v>32</v>
      </c>
      <c r="Z155" s="69"/>
    </row>
    <row r="156" spans="1:26" s="70" customFormat="1" ht="24.95" customHeight="1">
      <c r="A156" s="98"/>
      <c r="B156" s="99">
        <v>45323</v>
      </c>
      <c r="C156" s="94" t="s">
        <v>51</v>
      </c>
      <c r="D156" s="59" t="s">
        <v>20</v>
      </c>
      <c r="E156" s="14" t="str">
        <f t="shared" si="13"/>
        <v>H1B</v>
      </c>
      <c r="F156" s="95" t="s">
        <v>52</v>
      </c>
      <c r="G156" s="3" t="s">
        <v>26</v>
      </c>
      <c r="H156" s="95">
        <v>0.26</v>
      </c>
      <c r="I156" s="59" t="s">
        <v>43</v>
      </c>
      <c r="J156" s="58" t="s">
        <v>489</v>
      </c>
      <c r="K156" s="58" t="s">
        <v>490</v>
      </c>
      <c r="L156" s="104" t="s">
        <v>491</v>
      </c>
      <c r="M156" s="58"/>
      <c r="N156" s="60" t="s">
        <v>492</v>
      </c>
      <c r="O156" s="60" t="s">
        <v>30</v>
      </c>
      <c r="P156" s="88">
        <v>2</v>
      </c>
      <c r="Q156" s="88">
        <v>1</v>
      </c>
      <c r="R156" s="66">
        <v>45325</v>
      </c>
      <c r="S156" s="54">
        <v>45331</v>
      </c>
      <c r="T156" s="59" t="s">
        <v>19</v>
      </c>
      <c r="U156" s="100">
        <v>1</v>
      </c>
      <c r="V156" s="97">
        <v>0</v>
      </c>
      <c r="W156" s="88" t="s">
        <v>40</v>
      </c>
      <c r="X156" s="95" t="str">
        <f t="shared" si="15"/>
        <v>D2IDW4-B-20.26</v>
      </c>
      <c r="Y156" s="59" t="s">
        <v>32</v>
      </c>
      <c r="Z156" s="69"/>
    </row>
    <row r="157" spans="1:26" s="70" customFormat="1" ht="24.95" customHeight="1">
      <c r="A157" s="98"/>
      <c r="B157" s="99">
        <v>45323</v>
      </c>
      <c r="C157" s="94" t="s">
        <v>51</v>
      </c>
      <c r="D157" s="59" t="s">
        <v>20</v>
      </c>
      <c r="E157" s="14" t="str">
        <f t="shared" si="13"/>
        <v>H1B</v>
      </c>
      <c r="F157" s="95" t="s">
        <v>52</v>
      </c>
      <c r="G157" s="3" t="s">
        <v>26</v>
      </c>
      <c r="H157" s="95">
        <v>0.26</v>
      </c>
      <c r="I157" s="59" t="s">
        <v>43</v>
      </c>
      <c r="J157" s="58" t="s">
        <v>221</v>
      </c>
      <c r="K157" s="58" t="s">
        <v>222</v>
      </c>
      <c r="L157" s="96" t="s">
        <v>493</v>
      </c>
      <c r="M157" s="58"/>
      <c r="N157" s="60" t="s">
        <v>492</v>
      </c>
      <c r="O157" s="60" t="s">
        <v>29</v>
      </c>
      <c r="P157" s="88">
        <v>2</v>
      </c>
      <c r="Q157" s="88">
        <v>1</v>
      </c>
      <c r="R157" s="66">
        <v>45324</v>
      </c>
      <c r="S157" s="54">
        <v>45331</v>
      </c>
      <c r="T157" s="59" t="s">
        <v>19</v>
      </c>
      <c r="U157" s="100">
        <v>1</v>
      </c>
      <c r="V157" s="97">
        <v>0</v>
      </c>
      <c r="W157" s="88" t="s">
        <v>40</v>
      </c>
      <c r="X157" s="95" t="str">
        <f t="shared" si="15"/>
        <v>D2IDW4-B-20.26</v>
      </c>
      <c r="Y157" s="59" t="s">
        <v>32</v>
      </c>
      <c r="Z157" s="69"/>
    </row>
    <row r="158" spans="1:26" s="70" customFormat="1" ht="24.95" customHeight="1">
      <c r="A158" s="98"/>
      <c r="B158" s="99">
        <v>45323</v>
      </c>
      <c r="C158" s="94" t="s">
        <v>51</v>
      </c>
      <c r="D158" s="59" t="s">
        <v>20</v>
      </c>
      <c r="E158" s="14" t="str">
        <f t="shared" si="13"/>
        <v>H1B</v>
      </c>
      <c r="F158" s="95" t="s">
        <v>52</v>
      </c>
      <c r="G158" s="3" t="s">
        <v>26</v>
      </c>
      <c r="H158" s="95">
        <v>0.26</v>
      </c>
      <c r="I158" s="59" t="s">
        <v>43</v>
      </c>
      <c r="J158" s="58" t="s">
        <v>53</v>
      </c>
      <c r="K158" s="105" t="s">
        <v>494</v>
      </c>
      <c r="L158" s="96" t="s">
        <v>223</v>
      </c>
      <c r="M158" s="58"/>
      <c r="N158" s="60" t="s">
        <v>495</v>
      </c>
      <c r="O158" s="60" t="s">
        <v>176</v>
      </c>
      <c r="P158" s="88">
        <v>1</v>
      </c>
      <c r="Q158" s="88">
        <v>1</v>
      </c>
      <c r="R158" s="66">
        <v>45325</v>
      </c>
      <c r="S158" s="54">
        <v>45331</v>
      </c>
      <c r="T158" s="59" t="s">
        <v>19</v>
      </c>
      <c r="U158" s="100">
        <v>2</v>
      </c>
      <c r="V158" s="97">
        <v>0</v>
      </c>
      <c r="W158" s="88" t="s">
        <v>40</v>
      </c>
      <c r="X158" s="95" t="str">
        <f t="shared" si="15"/>
        <v>D2IDW4-B-20.26</v>
      </c>
      <c r="Y158" s="59" t="s">
        <v>32</v>
      </c>
      <c r="Z158" s="69"/>
    </row>
    <row r="159" spans="1:26" s="70" customFormat="1" ht="24.95" customHeight="1">
      <c r="A159" s="98"/>
      <c r="B159" s="99">
        <v>45323</v>
      </c>
      <c r="C159" s="94" t="s">
        <v>51</v>
      </c>
      <c r="D159" s="59" t="s">
        <v>20</v>
      </c>
      <c r="E159" s="14" t="str">
        <f t="shared" si="13"/>
        <v>H1A</v>
      </c>
      <c r="F159" s="95" t="s">
        <v>52</v>
      </c>
      <c r="G159" s="3" t="s">
        <v>26</v>
      </c>
      <c r="H159" s="95">
        <v>0.26</v>
      </c>
      <c r="I159" s="59" t="s">
        <v>43</v>
      </c>
      <c r="J159" s="58" t="s">
        <v>221</v>
      </c>
      <c r="K159" s="58" t="s">
        <v>496</v>
      </c>
      <c r="L159" s="96"/>
      <c r="M159" s="58"/>
      <c r="N159" s="60" t="s">
        <v>497</v>
      </c>
      <c r="O159" s="60" t="s">
        <v>30</v>
      </c>
      <c r="P159" s="88">
        <v>3</v>
      </c>
      <c r="Q159" s="88">
        <v>1</v>
      </c>
      <c r="R159" s="66">
        <v>45334</v>
      </c>
      <c r="S159" s="54">
        <v>45337</v>
      </c>
      <c r="T159" s="59" t="s">
        <v>19</v>
      </c>
      <c r="U159" s="100">
        <v>1</v>
      </c>
      <c r="V159" s="97">
        <v>0</v>
      </c>
      <c r="W159" s="88" t="s">
        <v>40</v>
      </c>
      <c r="X159" s="95" t="str">
        <f t="shared" si="15"/>
        <v>D2IDW4-B-20.26</v>
      </c>
      <c r="Y159" s="59" t="s">
        <v>32</v>
      </c>
      <c r="Z159" s="69"/>
    </row>
    <row r="160" spans="1:26" s="70" customFormat="1" ht="24.95" customHeight="1">
      <c r="A160" s="98"/>
      <c r="B160" s="99">
        <v>45323</v>
      </c>
      <c r="C160" s="94" t="s">
        <v>51</v>
      </c>
      <c r="D160" s="59" t="s">
        <v>20</v>
      </c>
      <c r="E160" s="14" t="str">
        <f t="shared" si="13"/>
        <v>H1A</v>
      </c>
      <c r="F160" s="95" t="s">
        <v>52</v>
      </c>
      <c r="G160" s="3" t="s">
        <v>26</v>
      </c>
      <c r="H160" s="95">
        <v>0.26</v>
      </c>
      <c r="I160" s="59" t="s">
        <v>43</v>
      </c>
      <c r="J160" s="58" t="s">
        <v>447</v>
      </c>
      <c r="K160" s="58" t="s">
        <v>498</v>
      </c>
      <c r="L160" s="96" t="s">
        <v>499</v>
      </c>
      <c r="M160" s="58"/>
      <c r="N160" s="60" t="s">
        <v>500</v>
      </c>
      <c r="O160" s="60" t="s">
        <v>486</v>
      </c>
      <c r="P160" s="60" t="s">
        <v>501</v>
      </c>
      <c r="Q160" s="88">
        <v>2</v>
      </c>
      <c r="R160" s="66">
        <v>45330</v>
      </c>
      <c r="S160" s="54">
        <v>45337</v>
      </c>
      <c r="T160" s="59" t="s">
        <v>19</v>
      </c>
      <c r="U160" s="100">
        <v>2</v>
      </c>
      <c r="V160" s="97">
        <v>0</v>
      </c>
      <c r="W160" s="88" t="s">
        <v>40</v>
      </c>
      <c r="X160" s="95" t="str">
        <f t="shared" si="15"/>
        <v>D2IDW4-B-20.26</v>
      </c>
      <c r="Y160" s="59" t="s">
        <v>32</v>
      </c>
      <c r="Z160" s="69"/>
    </row>
    <row r="161" spans="1:26" s="70" customFormat="1" ht="24.95" customHeight="1">
      <c r="A161" s="98"/>
      <c r="B161" s="99">
        <v>45323</v>
      </c>
      <c r="C161" s="94" t="s">
        <v>51</v>
      </c>
      <c r="D161" s="59" t="s">
        <v>20</v>
      </c>
      <c r="E161" s="14" t="str">
        <f t="shared" ref="E161:E165" si="17">IF(B160="","",LEFT(N161,3))</f>
        <v>H1A</v>
      </c>
      <c r="F161" s="95" t="s">
        <v>52</v>
      </c>
      <c r="G161" s="3" t="s">
        <v>26</v>
      </c>
      <c r="H161" s="95">
        <v>0.26</v>
      </c>
      <c r="I161" s="59" t="s">
        <v>43</v>
      </c>
      <c r="J161" s="58" t="s">
        <v>221</v>
      </c>
      <c r="K161" s="58" t="s">
        <v>466</v>
      </c>
      <c r="L161" s="96" t="s">
        <v>502</v>
      </c>
      <c r="M161" s="58"/>
      <c r="N161" s="60" t="s">
        <v>503</v>
      </c>
      <c r="O161" s="60" t="s">
        <v>30</v>
      </c>
      <c r="P161" s="88">
        <v>3</v>
      </c>
      <c r="Q161" s="88">
        <v>1</v>
      </c>
      <c r="R161" s="66">
        <v>45329</v>
      </c>
      <c r="S161" s="54">
        <v>45337</v>
      </c>
      <c r="T161" s="59" t="s">
        <v>19</v>
      </c>
      <c r="U161" s="100">
        <v>1</v>
      </c>
      <c r="V161" s="97">
        <v>0</v>
      </c>
      <c r="W161" s="88" t="s">
        <v>40</v>
      </c>
      <c r="X161" s="95" t="str">
        <f t="shared" si="15"/>
        <v>D2IDW4-B-20.26</v>
      </c>
      <c r="Y161" s="59" t="s">
        <v>32</v>
      </c>
      <c r="Z161" s="69"/>
    </row>
    <row r="162" spans="1:26" s="70" customFormat="1" ht="24.95" customHeight="1">
      <c r="A162" s="98"/>
      <c r="B162" s="99">
        <v>45323</v>
      </c>
      <c r="C162" s="94" t="s">
        <v>51</v>
      </c>
      <c r="D162" s="59" t="s">
        <v>20</v>
      </c>
      <c r="E162" s="14" t="str">
        <f t="shared" si="17"/>
        <v>H5A</v>
      </c>
      <c r="F162" s="95" t="s">
        <v>482</v>
      </c>
      <c r="G162" s="3" t="s">
        <v>26</v>
      </c>
      <c r="H162" s="95">
        <v>0.21</v>
      </c>
      <c r="I162" s="59" t="s">
        <v>25</v>
      </c>
      <c r="J162" s="58" t="s">
        <v>53</v>
      </c>
      <c r="K162" s="58"/>
      <c r="L162" s="96" t="s">
        <v>504</v>
      </c>
      <c r="M162" s="58"/>
      <c r="N162" s="60" t="s">
        <v>484</v>
      </c>
      <c r="O162" s="60" t="s">
        <v>56</v>
      </c>
      <c r="P162" s="88"/>
      <c r="Q162" s="88">
        <v>2</v>
      </c>
      <c r="R162" s="66">
        <v>45332</v>
      </c>
      <c r="S162" s="54">
        <v>45337</v>
      </c>
      <c r="T162" s="59" t="s">
        <v>19</v>
      </c>
      <c r="U162" s="100">
        <v>2</v>
      </c>
      <c r="V162" s="97">
        <v>0</v>
      </c>
      <c r="W162" s="88" t="s">
        <v>40</v>
      </c>
      <c r="X162" s="95" t="str">
        <f t="shared" si="15"/>
        <v>2AIW0.21</v>
      </c>
      <c r="Y162" s="59" t="s">
        <v>32</v>
      </c>
      <c r="Z162" s="69"/>
    </row>
    <row r="163" spans="1:26" s="70" customFormat="1" ht="24.95" customHeight="1">
      <c r="A163" s="98"/>
      <c r="B163" s="99">
        <v>45323</v>
      </c>
      <c r="C163" s="94" t="s">
        <v>51</v>
      </c>
      <c r="D163" s="59" t="s">
        <v>20</v>
      </c>
      <c r="E163" s="14" t="str">
        <f t="shared" si="17"/>
        <v>Adv</v>
      </c>
      <c r="F163" s="95" t="s">
        <v>52</v>
      </c>
      <c r="G163" s="3" t="s">
        <v>26</v>
      </c>
      <c r="H163" s="95">
        <v>0.26</v>
      </c>
      <c r="I163" s="59" t="s">
        <v>43</v>
      </c>
      <c r="J163" s="58" t="s">
        <v>221</v>
      </c>
      <c r="K163" s="105" t="s">
        <v>505</v>
      </c>
      <c r="L163" s="96" t="s">
        <v>506</v>
      </c>
      <c r="M163" s="58"/>
      <c r="N163" s="60" t="s">
        <v>507</v>
      </c>
      <c r="O163" s="60"/>
      <c r="P163" s="88">
        <v>2</v>
      </c>
      <c r="Q163" s="88">
        <v>1</v>
      </c>
      <c r="R163" s="66">
        <v>45328</v>
      </c>
      <c r="S163" s="54">
        <v>45337</v>
      </c>
      <c r="T163" s="59" t="s">
        <v>19</v>
      </c>
      <c r="U163" s="100">
        <v>1</v>
      </c>
      <c r="V163" s="97">
        <v>0</v>
      </c>
      <c r="W163" s="88" t="s">
        <v>40</v>
      </c>
      <c r="X163" s="95" t="str">
        <f t="shared" si="15"/>
        <v>D2IDW4-B-20.26</v>
      </c>
      <c r="Y163" s="59" t="s">
        <v>32</v>
      </c>
      <c r="Z163" s="69"/>
    </row>
    <row r="164" spans="1:26" s="70" customFormat="1" ht="24.95" customHeight="1">
      <c r="A164" s="98"/>
      <c r="B164" s="99">
        <v>45323</v>
      </c>
      <c r="C164" s="94" t="s">
        <v>51</v>
      </c>
      <c r="D164" s="59" t="s">
        <v>20</v>
      </c>
      <c r="E164" s="14" t="str">
        <f t="shared" si="17"/>
        <v>H1A</v>
      </c>
      <c r="F164" s="95" t="s">
        <v>52</v>
      </c>
      <c r="G164" s="3" t="s">
        <v>26</v>
      </c>
      <c r="H164" s="95">
        <v>0.26</v>
      </c>
      <c r="I164" s="59" t="s">
        <v>43</v>
      </c>
      <c r="J164" s="58" t="s">
        <v>469</v>
      </c>
      <c r="K164" s="58"/>
      <c r="L164" s="104" t="s">
        <v>508</v>
      </c>
      <c r="M164" s="58"/>
      <c r="N164" s="60" t="s">
        <v>509</v>
      </c>
      <c r="O164" s="60" t="s">
        <v>176</v>
      </c>
      <c r="P164" s="88" t="s">
        <v>510</v>
      </c>
      <c r="Q164" s="88">
        <v>3</v>
      </c>
      <c r="R164" s="66">
        <v>45329</v>
      </c>
      <c r="S164" s="54">
        <v>45341</v>
      </c>
      <c r="T164" s="59" t="s">
        <v>19</v>
      </c>
      <c r="U164" s="100">
        <v>3</v>
      </c>
      <c r="V164" s="97">
        <v>0</v>
      </c>
      <c r="W164" s="88" t="s">
        <v>40</v>
      </c>
      <c r="X164" s="95" t="str">
        <f t="shared" si="15"/>
        <v>D2IDW4-B-20.26</v>
      </c>
      <c r="Y164" s="59" t="s">
        <v>32</v>
      </c>
      <c r="Z164" s="69"/>
    </row>
    <row r="165" spans="1:26" s="70" customFormat="1" ht="24.95" customHeight="1">
      <c r="A165" s="98"/>
      <c r="B165" s="99">
        <v>45323</v>
      </c>
      <c r="C165" s="94" t="s">
        <v>51</v>
      </c>
      <c r="D165" s="59" t="s">
        <v>20</v>
      </c>
      <c r="E165" s="14" t="str">
        <f t="shared" si="17"/>
        <v>H1A</v>
      </c>
      <c r="F165" s="95" t="s">
        <v>52</v>
      </c>
      <c r="G165" s="3" t="s">
        <v>26</v>
      </c>
      <c r="H165" s="95">
        <v>0.26</v>
      </c>
      <c r="I165" s="59" t="s">
        <v>43</v>
      </c>
      <c r="J165" s="58" t="s">
        <v>53</v>
      </c>
      <c r="K165" s="58" t="s">
        <v>511</v>
      </c>
      <c r="L165" s="96" t="s">
        <v>512</v>
      </c>
      <c r="M165" s="58"/>
      <c r="N165" s="60" t="s">
        <v>513</v>
      </c>
      <c r="O165" s="60" t="s">
        <v>30</v>
      </c>
      <c r="P165" s="88">
        <v>4</v>
      </c>
      <c r="Q165" s="88">
        <v>1</v>
      </c>
      <c r="R165" s="66">
        <v>45328</v>
      </c>
      <c r="S165" s="54">
        <v>45337</v>
      </c>
      <c r="T165" s="59" t="s">
        <v>19</v>
      </c>
      <c r="U165" s="100">
        <v>1</v>
      </c>
      <c r="V165" s="97">
        <v>0</v>
      </c>
      <c r="W165" s="88" t="s">
        <v>40</v>
      </c>
      <c r="X165" s="95" t="str">
        <f t="shared" si="15"/>
        <v>D2IDW4-B-20.26</v>
      </c>
      <c r="Y165" s="59" t="s">
        <v>32</v>
      </c>
      <c r="Z165" s="69"/>
    </row>
    <row r="166" spans="1:26" s="70" customFormat="1" ht="24.95" customHeight="1">
      <c r="A166" s="79"/>
      <c r="B166" s="99">
        <v>45323</v>
      </c>
      <c r="C166" s="94" t="s">
        <v>51</v>
      </c>
      <c r="D166" s="59" t="s">
        <v>20</v>
      </c>
      <c r="E166" s="14" t="str">
        <f>IF(B166="","",LEFT(N166,3))</f>
        <v>H2A</v>
      </c>
      <c r="F166" s="73" t="s">
        <v>285</v>
      </c>
      <c r="G166" s="3" t="s">
        <v>26</v>
      </c>
      <c r="H166" s="73">
        <v>0.38</v>
      </c>
      <c r="I166" s="64" t="s">
        <v>286</v>
      </c>
      <c r="J166" s="63" t="s">
        <v>274</v>
      </c>
      <c r="K166" s="63" t="s">
        <v>515</v>
      </c>
      <c r="L166" s="81"/>
      <c r="M166" s="63"/>
      <c r="N166" s="65" t="s">
        <v>514</v>
      </c>
      <c r="O166" s="65" t="s">
        <v>30</v>
      </c>
      <c r="P166" s="62">
        <v>3</v>
      </c>
      <c r="Q166" s="62">
        <v>1</v>
      </c>
      <c r="R166" s="74">
        <v>45335</v>
      </c>
      <c r="S166" s="124">
        <v>45342</v>
      </c>
      <c r="T166" s="64" t="s">
        <v>19</v>
      </c>
      <c r="U166" s="101">
        <v>1</v>
      </c>
      <c r="V166" s="82">
        <v>0</v>
      </c>
      <c r="W166" s="62" t="s">
        <v>40</v>
      </c>
      <c r="X166" s="95" t="str">
        <f>F166&amp;H166</f>
        <v>1-UTZ0.38</v>
      </c>
      <c r="Y166" s="64" t="s">
        <v>32</v>
      </c>
      <c r="Z166" s="69"/>
    </row>
    <row r="167" spans="1:26" s="70" customFormat="1" ht="24.95" customHeight="1">
      <c r="A167" s="79"/>
      <c r="B167" s="99">
        <v>45323</v>
      </c>
      <c r="C167" s="94" t="s">
        <v>51</v>
      </c>
      <c r="D167" s="59" t="s">
        <v>20</v>
      </c>
      <c r="E167" s="14" t="str">
        <f>IF(B167="","",LEFT(N167,3))</f>
        <v>H2A</v>
      </c>
      <c r="F167" s="73" t="s">
        <v>285</v>
      </c>
      <c r="G167" s="3" t="s">
        <v>26</v>
      </c>
      <c r="H167" s="73">
        <v>0.38</v>
      </c>
      <c r="I167" s="64" t="s">
        <v>286</v>
      </c>
      <c r="J167" s="63" t="s">
        <v>162</v>
      </c>
      <c r="K167" s="63" t="s">
        <v>515</v>
      </c>
      <c r="L167" s="106" t="s">
        <v>516</v>
      </c>
      <c r="M167" s="63"/>
      <c r="N167" s="65" t="s">
        <v>514</v>
      </c>
      <c r="O167" s="65" t="s">
        <v>517</v>
      </c>
      <c r="P167" s="62">
        <v>3</v>
      </c>
      <c r="Q167" s="62">
        <v>4</v>
      </c>
      <c r="R167" s="74">
        <v>45335</v>
      </c>
      <c r="S167" s="124">
        <v>45342</v>
      </c>
      <c r="T167" s="64" t="s">
        <v>19</v>
      </c>
      <c r="U167" s="101">
        <v>4</v>
      </c>
      <c r="V167" s="82">
        <v>0</v>
      </c>
      <c r="W167" s="62" t="s">
        <v>40</v>
      </c>
      <c r="X167" s="95" t="str">
        <f>F167&amp;H167</f>
        <v>1-UTZ0.38</v>
      </c>
      <c r="Y167" s="64" t="s">
        <v>32</v>
      </c>
      <c r="Z167" s="69"/>
    </row>
    <row r="168" spans="1:26" s="70" customFormat="1" ht="24.95" customHeight="1">
      <c r="A168" s="79"/>
      <c r="B168" s="99">
        <v>45323</v>
      </c>
      <c r="C168" s="94" t="s">
        <v>51</v>
      </c>
      <c r="D168" s="59" t="s">
        <v>20</v>
      </c>
      <c r="E168" s="14" t="str">
        <f>IF(B168="","",LEFT(N168,3))</f>
        <v>H2A</v>
      </c>
      <c r="F168" s="73" t="s">
        <v>285</v>
      </c>
      <c r="G168" s="3" t="s">
        <v>26</v>
      </c>
      <c r="H168" s="73">
        <v>0.38</v>
      </c>
      <c r="I168" s="64" t="s">
        <v>286</v>
      </c>
      <c r="J168" s="63" t="s">
        <v>274</v>
      </c>
      <c r="K168" s="63" t="s">
        <v>515</v>
      </c>
      <c r="L168" s="81" t="s">
        <v>518</v>
      </c>
      <c r="M168" s="63"/>
      <c r="N168" s="65" t="s">
        <v>519</v>
      </c>
      <c r="O168" s="65" t="s">
        <v>176</v>
      </c>
      <c r="P168" s="62">
        <v>3</v>
      </c>
      <c r="Q168" s="62">
        <v>2</v>
      </c>
      <c r="R168" s="74">
        <v>45334</v>
      </c>
      <c r="S168" s="124">
        <v>45342</v>
      </c>
      <c r="T168" s="64" t="s">
        <v>19</v>
      </c>
      <c r="U168" s="101">
        <v>2</v>
      </c>
      <c r="V168" s="82">
        <v>0</v>
      </c>
      <c r="W168" s="62" t="s">
        <v>40</v>
      </c>
      <c r="X168" s="95" t="str">
        <f>F168&amp;H168</f>
        <v>1-UTZ0.38</v>
      </c>
      <c r="Y168" s="64" t="s">
        <v>32</v>
      </c>
      <c r="Z168" s="69"/>
    </row>
    <row r="169" spans="1:26" s="70" customFormat="1" ht="24.95" customHeight="1">
      <c r="A169" s="79"/>
      <c r="B169" s="99">
        <v>45323</v>
      </c>
      <c r="C169" s="94" t="s">
        <v>51</v>
      </c>
      <c r="D169" s="59" t="s">
        <v>20</v>
      </c>
      <c r="E169" s="14" t="str">
        <f>IF(B169="","",LEFT(N169,3))</f>
        <v>H2B</v>
      </c>
      <c r="F169" s="73" t="s">
        <v>482</v>
      </c>
      <c r="G169" s="3" t="s">
        <v>26</v>
      </c>
      <c r="H169" s="73">
        <v>0.37</v>
      </c>
      <c r="I169" s="64" t="s">
        <v>487</v>
      </c>
      <c r="J169" s="63" t="s">
        <v>520</v>
      </c>
      <c r="K169" s="63" t="s">
        <v>521</v>
      </c>
      <c r="L169" s="81" t="s">
        <v>57</v>
      </c>
      <c r="M169" s="63"/>
      <c r="N169" s="65" t="s">
        <v>522</v>
      </c>
      <c r="O169" s="65" t="s">
        <v>523</v>
      </c>
      <c r="P169" s="62">
        <v>1.4</v>
      </c>
      <c r="Q169" s="62">
        <v>5</v>
      </c>
      <c r="R169" s="74">
        <v>45324</v>
      </c>
      <c r="S169" s="124">
        <v>45342</v>
      </c>
      <c r="T169" s="64" t="s">
        <v>19</v>
      </c>
      <c r="U169" s="101">
        <v>0</v>
      </c>
      <c r="V169" s="82">
        <v>5</v>
      </c>
      <c r="W169" s="62" t="s">
        <v>40</v>
      </c>
      <c r="X169" s="95" t="str">
        <f>F169&amp;H169</f>
        <v>2AIW0.37</v>
      </c>
      <c r="Y169" s="64" t="s">
        <v>182</v>
      </c>
      <c r="Z169" s="69"/>
    </row>
    <row r="170" spans="1:26" s="70" customFormat="1" ht="24.95" customHeight="1">
      <c r="A170" s="79"/>
      <c r="B170" s="99">
        <v>45323</v>
      </c>
      <c r="C170" s="94" t="s">
        <v>51</v>
      </c>
      <c r="D170" s="59" t="s">
        <v>20</v>
      </c>
      <c r="E170" s="14" t="str">
        <f>IF(B165="","",LEFT(N170,3))</f>
        <v>H2B</v>
      </c>
      <c r="F170" s="73" t="s">
        <v>482</v>
      </c>
      <c r="G170" s="3" t="s">
        <v>26</v>
      </c>
      <c r="H170" s="73">
        <v>0.37</v>
      </c>
      <c r="I170" s="64" t="s">
        <v>487</v>
      </c>
      <c r="J170" s="63" t="s">
        <v>274</v>
      </c>
      <c r="K170" s="63" t="s">
        <v>524</v>
      </c>
      <c r="L170" s="81" t="s">
        <v>525</v>
      </c>
      <c r="M170" s="63"/>
      <c r="N170" s="65" t="s">
        <v>526</v>
      </c>
      <c r="O170" s="65" t="s">
        <v>488</v>
      </c>
      <c r="P170" s="62">
        <v>2.4</v>
      </c>
      <c r="Q170" s="62">
        <v>8</v>
      </c>
      <c r="R170" s="74">
        <v>45326</v>
      </c>
      <c r="S170" s="124">
        <v>45342</v>
      </c>
      <c r="T170" s="64" t="s">
        <v>19</v>
      </c>
      <c r="U170" s="101">
        <v>0</v>
      </c>
      <c r="V170" s="82">
        <v>8</v>
      </c>
      <c r="W170" s="62" t="s">
        <v>40</v>
      </c>
      <c r="X170" s="95" t="str">
        <f t="shared" si="15"/>
        <v>2AIW0.37</v>
      </c>
      <c r="Y170" s="64" t="s">
        <v>182</v>
      </c>
      <c r="Z170" s="78"/>
    </row>
    <row r="171" spans="1:26" s="70" customFormat="1" ht="24.95" customHeight="1">
      <c r="A171" s="98"/>
      <c r="B171" s="99">
        <v>45323</v>
      </c>
      <c r="C171" s="94" t="s">
        <v>51</v>
      </c>
      <c r="D171" s="59" t="s">
        <v>20</v>
      </c>
      <c r="E171" s="14" t="str">
        <f t="shared" ref="E171:E178" si="18">IF(B166="","",LEFT(N171,3))</f>
        <v>H1A</v>
      </c>
      <c r="F171" s="59" t="s">
        <v>52</v>
      </c>
      <c r="G171" s="3" t="s">
        <v>26</v>
      </c>
      <c r="H171" s="95">
        <v>0.26</v>
      </c>
      <c r="I171" s="59" t="s">
        <v>43</v>
      </c>
      <c r="J171" s="58" t="s">
        <v>582</v>
      </c>
      <c r="K171" s="96" t="s">
        <v>583</v>
      </c>
      <c r="L171" s="58" t="s">
        <v>584</v>
      </c>
      <c r="M171" s="96"/>
      <c r="N171" s="60" t="s">
        <v>585</v>
      </c>
      <c r="O171" s="60" t="s">
        <v>29</v>
      </c>
      <c r="P171" s="88">
        <v>4</v>
      </c>
      <c r="Q171" s="88">
        <v>1</v>
      </c>
      <c r="R171" s="66">
        <v>45346</v>
      </c>
      <c r="S171" s="54">
        <v>45349</v>
      </c>
      <c r="T171" s="88" t="s">
        <v>19</v>
      </c>
      <c r="U171" s="100">
        <v>1</v>
      </c>
      <c r="V171" s="97">
        <v>0</v>
      </c>
      <c r="W171" s="95" t="s">
        <v>40</v>
      </c>
      <c r="X171" s="88" t="str">
        <f t="shared" ref="X171:X178" si="19">F171&amp;H171</f>
        <v>D2IDW4-B-20.26</v>
      </c>
      <c r="Y171" s="59" t="s">
        <v>32</v>
      </c>
      <c r="Z171" s="69"/>
    </row>
    <row r="172" spans="1:26" s="70" customFormat="1" ht="24.95" customHeight="1">
      <c r="A172" s="107"/>
      <c r="B172" s="99">
        <v>45323</v>
      </c>
      <c r="C172" s="94" t="s">
        <v>51</v>
      </c>
      <c r="D172" s="59" t="s">
        <v>20</v>
      </c>
      <c r="E172" s="14" t="str">
        <f t="shared" si="18"/>
        <v>H1A</v>
      </c>
      <c r="F172" s="59" t="s">
        <v>52</v>
      </c>
      <c r="G172" s="3" t="s">
        <v>26</v>
      </c>
      <c r="H172" s="95">
        <v>0.26</v>
      </c>
      <c r="I172" s="59" t="s">
        <v>43</v>
      </c>
      <c r="J172" s="96" t="s">
        <v>53</v>
      </c>
      <c r="K172" s="58" t="s">
        <v>586</v>
      </c>
      <c r="L172" s="96" t="s">
        <v>587</v>
      </c>
      <c r="M172" s="96"/>
      <c r="N172" s="88" t="s">
        <v>588</v>
      </c>
      <c r="O172" s="60" t="s">
        <v>30</v>
      </c>
      <c r="P172" s="88">
        <v>2</v>
      </c>
      <c r="Q172" s="88">
        <v>1</v>
      </c>
      <c r="R172" s="66">
        <v>45348</v>
      </c>
      <c r="S172" s="54">
        <v>45349</v>
      </c>
      <c r="T172" s="88" t="s">
        <v>19</v>
      </c>
      <c r="U172" s="100">
        <v>1</v>
      </c>
      <c r="V172" s="108">
        <v>0</v>
      </c>
      <c r="W172" s="59" t="s">
        <v>40</v>
      </c>
      <c r="X172" s="88" t="str">
        <f t="shared" si="19"/>
        <v>D2IDW4-B-20.26</v>
      </c>
      <c r="Y172" s="59" t="s">
        <v>32</v>
      </c>
      <c r="Z172" s="69"/>
    </row>
    <row r="173" spans="1:26" s="70" customFormat="1" ht="24.95" customHeight="1">
      <c r="A173" s="107"/>
      <c r="B173" s="99">
        <v>45323</v>
      </c>
      <c r="C173" s="94" t="s">
        <v>51</v>
      </c>
      <c r="D173" s="59" t="s">
        <v>20</v>
      </c>
      <c r="E173" s="14" t="str">
        <f t="shared" si="18"/>
        <v>H11</v>
      </c>
      <c r="F173" s="59" t="s">
        <v>52</v>
      </c>
      <c r="G173" s="3" t="s">
        <v>26</v>
      </c>
      <c r="H173" s="95">
        <v>0.26</v>
      </c>
      <c r="I173" s="59" t="s">
        <v>43</v>
      </c>
      <c r="J173" s="96" t="s">
        <v>53</v>
      </c>
      <c r="K173" s="58" t="s">
        <v>589</v>
      </c>
      <c r="L173" s="96" t="s">
        <v>590</v>
      </c>
      <c r="M173" s="96"/>
      <c r="N173" s="88" t="s">
        <v>591</v>
      </c>
      <c r="O173" s="60" t="s">
        <v>30</v>
      </c>
      <c r="P173" s="88">
        <v>4</v>
      </c>
      <c r="Q173" s="88">
        <v>1</v>
      </c>
      <c r="R173" s="66">
        <v>45344</v>
      </c>
      <c r="S173" s="54">
        <v>45349</v>
      </c>
      <c r="T173" s="88" t="s">
        <v>19</v>
      </c>
      <c r="U173" s="100">
        <v>1</v>
      </c>
      <c r="V173" s="108">
        <v>0</v>
      </c>
      <c r="W173" s="59" t="s">
        <v>40</v>
      </c>
      <c r="X173" s="88" t="str">
        <f t="shared" si="19"/>
        <v>D2IDW4-B-20.26</v>
      </c>
      <c r="Y173" s="59" t="s">
        <v>32</v>
      </c>
      <c r="Z173" s="69"/>
    </row>
    <row r="174" spans="1:26" s="70" customFormat="1" ht="24.95" customHeight="1">
      <c r="A174" s="107"/>
      <c r="B174" s="99">
        <v>45323</v>
      </c>
      <c r="C174" s="94" t="s">
        <v>51</v>
      </c>
      <c r="D174" s="59" t="s">
        <v>20</v>
      </c>
      <c r="E174" s="14" t="str">
        <f t="shared" si="18"/>
        <v>H1A</v>
      </c>
      <c r="F174" s="59" t="s">
        <v>52</v>
      </c>
      <c r="G174" s="3" t="s">
        <v>26</v>
      </c>
      <c r="H174" s="95">
        <v>0.26</v>
      </c>
      <c r="I174" s="59" t="s">
        <v>43</v>
      </c>
      <c r="J174" s="104" t="s">
        <v>592</v>
      </c>
      <c r="K174" s="58"/>
      <c r="L174" s="96" t="s">
        <v>593</v>
      </c>
      <c r="M174" s="96"/>
      <c r="N174" s="88" t="s">
        <v>594</v>
      </c>
      <c r="O174" s="60" t="s">
        <v>30</v>
      </c>
      <c r="P174" s="88">
        <v>2.2999999999999998</v>
      </c>
      <c r="Q174" s="88">
        <v>2</v>
      </c>
      <c r="R174" s="66">
        <v>45343</v>
      </c>
      <c r="S174" s="54">
        <v>45349</v>
      </c>
      <c r="T174" s="88" t="s">
        <v>19</v>
      </c>
      <c r="U174" s="100">
        <v>2</v>
      </c>
      <c r="V174" s="108">
        <v>0</v>
      </c>
      <c r="W174" s="22" t="s">
        <v>40</v>
      </c>
      <c r="X174" s="88" t="str">
        <f t="shared" si="19"/>
        <v>D2IDW4-B-20.26</v>
      </c>
      <c r="Y174" s="22" t="s">
        <v>32</v>
      </c>
      <c r="Z174" s="69"/>
    </row>
    <row r="175" spans="1:26" s="70" customFormat="1" ht="24.95" customHeight="1">
      <c r="A175" s="107"/>
      <c r="B175" s="99">
        <v>45323</v>
      </c>
      <c r="C175" s="94" t="s">
        <v>51</v>
      </c>
      <c r="D175" s="59" t="s">
        <v>20</v>
      </c>
      <c r="E175" s="14" t="str">
        <f t="shared" si="18"/>
        <v>H1A</v>
      </c>
      <c r="F175" s="59" t="s">
        <v>52</v>
      </c>
      <c r="G175" s="3" t="s">
        <v>26</v>
      </c>
      <c r="H175" s="95">
        <v>0.26</v>
      </c>
      <c r="I175" s="59" t="s">
        <v>43</v>
      </c>
      <c r="J175" s="109" t="s">
        <v>221</v>
      </c>
      <c r="K175" s="21" t="s">
        <v>595</v>
      </c>
      <c r="L175" s="109" t="s">
        <v>596</v>
      </c>
      <c r="M175" s="96"/>
      <c r="N175" s="45" t="s">
        <v>585</v>
      </c>
      <c r="O175" s="23" t="s">
        <v>30</v>
      </c>
      <c r="P175" s="88">
        <v>3</v>
      </c>
      <c r="Q175" s="88">
        <v>1</v>
      </c>
      <c r="R175" s="66">
        <v>45345</v>
      </c>
      <c r="S175" s="54">
        <v>45349</v>
      </c>
      <c r="T175" s="45" t="s">
        <v>19</v>
      </c>
      <c r="U175" s="100">
        <v>1</v>
      </c>
      <c r="V175" s="108">
        <v>0</v>
      </c>
      <c r="W175" s="22" t="s">
        <v>40</v>
      </c>
      <c r="X175" s="88" t="str">
        <f t="shared" si="19"/>
        <v>D2IDW4-B-20.26</v>
      </c>
      <c r="Y175" s="22" t="s">
        <v>32</v>
      </c>
      <c r="Z175" s="69"/>
    </row>
    <row r="176" spans="1:26" s="70" customFormat="1" ht="24.95" customHeight="1">
      <c r="A176" s="107"/>
      <c r="B176" s="99">
        <v>45323</v>
      </c>
      <c r="C176" s="94" t="s">
        <v>51</v>
      </c>
      <c r="D176" s="59" t="s">
        <v>20</v>
      </c>
      <c r="E176" s="14" t="str">
        <f t="shared" si="18"/>
        <v>H77</v>
      </c>
      <c r="F176" s="111" t="s">
        <v>429</v>
      </c>
      <c r="G176" s="3" t="s">
        <v>26</v>
      </c>
      <c r="H176" s="95">
        <v>0.13</v>
      </c>
      <c r="I176" s="22" t="s">
        <v>286</v>
      </c>
      <c r="J176" s="109" t="s">
        <v>317</v>
      </c>
      <c r="K176" s="21" t="s">
        <v>597</v>
      </c>
      <c r="L176" s="109" t="s">
        <v>57</v>
      </c>
      <c r="M176" s="96"/>
      <c r="N176" s="45" t="s">
        <v>598</v>
      </c>
      <c r="O176" s="23" t="s">
        <v>29</v>
      </c>
      <c r="P176" s="88">
        <v>5</v>
      </c>
      <c r="Q176" s="88">
        <v>1</v>
      </c>
      <c r="R176" s="66">
        <v>45345</v>
      </c>
      <c r="S176" s="54">
        <v>45349</v>
      </c>
      <c r="T176" s="45" t="s">
        <v>19</v>
      </c>
      <c r="U176" s="100">
        <v>1</v>
      </c>
      <c r="V176" s="108">
        <v>0</v>
      </c>
      <c r="W176" s="22" t="s">
        <v>40</v>
      </c>
      <c r="X176" s="88" t="str">
        <f t="shared" si="19"/>
        <v>2-ATZ-3000.13</v>
      </c>
      <c r="Y176" s="22" t="s">
        <v>32</v>
      </c>
      <c r="Z176" s="69"/>
    </row>
    <row r="177" spans="1:26" s="70" customFormat="1" ht="24.95" customHeight="1">
      <c r="A177" s="107"/>
      <c r="B177" s="99">
        <v>45323</v>
      </c>
      <c r="C177" s="94" t="s">
        <v>51</v>
      </c>
      <c r="D177" s="59" t="s">
        <v>20</v>
      </c>
      <c r="E177" s="14" t="str">
        <f t="shared" si="18"/>
        <v>H5B</v>
      </c>
      <c r="F177" s="111" t="s">
        <v>429</v>
      </c>
      <c r="G177" s="15" t="s">
        <v>27</v>
      </c>
      <c r="H177" s="95">
        <v>0.42</v>
      </c>
      <c r="I177" s="22" t="s">
        <v>430</v>
      </c>
      <c r="J177" s="109" t="s">
        <v>599</v>
      </c>
      <c r="K177" s="55" t="s">
        <v>600</v>
      </c>
      <c r="L177" s="109" t="s">
        <v>601</v>
      </c>
      <c r="M177" s="96"/>
      <c r="N177" s="45" t="s">
        <v>602</v>
      </c>
      <c r="O177" s="23" t="s">
        <v>603</v>
      </c>
      <c r="P177" s="88">
        <v>1</v>
      </c>
      <c r="Q177" s="88">
        <v>1</v>
      </c>
      <c r="R177" s="66">
        <v>45344</v>
      </c>
      <c r="S177" s="54">
        <v>45349</v>
      </c>
      <c r="T177" s="45" t="s">
        <v>19</v>
      </c>
      <c r="U177" s="100">
        <v>1</v>
      </c>
      <c r="V177" s="108">
        <v>0</v>
      </c>
      <c r="W177" s="22" t="s">
        <v>40</v>
      </c>
      <c r="X177" s="88" t="str">
        <f t="shared" si="19"/>
        <v>2-ATZ-3000.42</v>
      </c>
      <c r="Y177" s="22" t="s">
        <v>32</v>
      </c>
      <c r="Z177" s="69"/>
    </row>
    <row r="178" spans="1:26" s="70" customFormat="1" ht="24.95" customHeight="1">
      <c r="A178" s="80"/>
      <c r="B178" s="71">
        <v>45323</v>
      </c>
      <c r="C178" s="72" t="s">
        <v>51</v>
      </c>
      <c r="D178" s="64" t="s">
        <v>20</v>
      </c>
      <c r="E178" s="14" t="str">
        <f t="shared" si="18"/>
        <v>H1A</v>
      </c>
      <c r="F178" s="112" t="s">
        <v>52</v>
      </c>
      <c r="G178" s="3" t="s">
        <v>26</v>
      </c>
      <c r="H178" s="73">
        <v>0.26</v>
      </c>
      <c r="I178" s="113" t="s">
        <v>43</v>
      </c>
      <c r="J178" s="114" t="s">
        <v>604</v>
      </c>
      <c r="K178" s="63"/>
      <c r="L178" s="114" t="s">
        <v>605</v>
      </c>
      <c r="M178" s="81"/>
      <c r="N178" s="115" t="s">
        <v>594</v>
      </c>
      <c r="O178" s="116" t="s">
        <v>30</v>
      </c>
      <c r="P178" s="62">
        <v>3.5</v>
      </c>
      <c r="Q178" s="62">
        <v>2</v>
      </c>
      <c r="R178" s="74">
        <v>45344</v>
      </c>
      <c r="S178" s="124">
        <v>45349</v>
      </c>
      <c r="T178" s="115" t="s">
        <v>19</v>
      </c>
      <c r="U178" s="101">
        <v>2</v>
      </c>
      <c r="V178" s="110">
        <v>0</v>
      </c>
      <c r="W178" s="113" t="s">
        <v>40</v>
      </c>
      <c r="X178" s="62" t="str">
        <f t="shared" si="19"/>
        <v>D2IDW4-B-20.26</v>
      </c>
      <c r="Y178" s="113" t="s">
        <v>32</v>
      </c>
      <c r="Z178" s="78"/>
    </row>
    <row r="179" spans="1:26" s="70" customFormat="1" ht="24.95" customHeight="1">
      <c r="A179" s="80"/>
      <c r="B179" s="71">
        <v>45323</v>
      </c>
      <c r="C179" s="72" t="s">
        <v>51</v>
      </c>
      <c r="D179" s="64" t="s">
        <v>20</v>
      </c>
      <c r="E179" s="14" t="str">
        <f t="shared" ref="E179:E256" si="20">IF(B174="","",LEFT(N179,3))</f>
        <v>H2A</v>
      </c>
      <c r="F179" s="112" t="s">
        <v>285</v>
      </c>
      <c r="G179" s="3" t="s">
        <v>26</v>
      </c>
      <c r="H179" s="73">
        <v>0.38</v>
      </c>
      <c r="I179" s="113" t="s">
        <v>286</v>
      </c>
      <c r="J179" s="114" t="s">
        <v>162</v>
      </c>
      <c r="K179" s="63" t="s">
        <v>607</v>
      </c>
      <c r="L179" s="119" t="s">
        <v>608</v>
      </c>
      <c r="M179" s="81"/>
      <c r="N179" s="115" t="s">
        <v>514</v>
      </c>
      <c r="O179" s="116" t="s">
        <v>517</v>
      </c>
      <c r="P179" s="62">
        <v>3</v>
      </c>
      <c r="Q179" s="62">
        <v>4</v>
      </c>
      <c r="R179" s="74">
        <v>45335</v>
      </c>
      <c r="S179" s="124">
        <v>45342</v>
      </c>
      <c r="T179" s="115" t="s">
        <v>19</v>
      </c>
      <c r="U179" s="101">
        <v>0</v>
      </c>
      <c r="V179" s="110">
        <v>4</v>
      </c>
      <c r="W179" s="113" t="s">
        <v>40</v>
      </c>
      <c r="X179" s="62" t="str">
        <f t="shared" ref="X179:X199" si="21">F179&amp;H179</f>
        <v>1-UTZ0.38</v>
      </c>
      <c r="Y179" s="113" t="s">
        <v>182</v>
      </c>
      <c r="Z179" s="78"/>
    </row>
    <row r="180" spans="1:26" s="70" customFormat="1" ht="24.95" customHeight="1">
      <c r="A180" s="80"/>
      <c r="B180" s="71">
        <v>45323</v>
      </c>
      <c r="C180" s="72" t="s">
        <v>51</v>
      </c>
      <c r="D180" s="64" t="s">
        <v>20</v>
      </c>
      <c r="E180" s="14" t="str">
        <f t="shared" si="20"/>
        <v>H2A</v>
      </c>
      <c r="F180" s="112" t="s">
        <v>285</v>
      </c>
      <c r="G180" s="3" t="s">
        <v>26</v>
      </c>
      <c r="H180" s="73">
        <v>0.38</v>
      </c>
      <c r="I180" s="113" t="s">
        <v>286</v>
      </c>
      <c r="J180" s="114" t="s">
        <v>274</v>
      </c>
      <c r="K180" s="63" t="s">
        <v>613</v>
      </c>
      <c r="L180" s="119"/>
      <c r="M180" s="81"/>
      <c r="N180" s="115" t="s">
        <v>514</v>
      </c>
      <c r="O180" s="116" t="s">
        <v>30</v>
      </c>
      <c r="P180" s="62">
        <v>3</v>
      </c>
      <c r="Q180" s="62">
        <v>1</v>
      </c>
      <c r="R180" s="74">
        <v>45335</v>
      </c>
      <c r="S180" s="124">
        <v>45342</v>
      </c>
      <c r="T180" s="115" t="s">
        <v>19</v>
      </c>
      <c r="U180" s="101">
        <v>0</v>
      </c>
      <c r="V180" s="110">
        <v>1</v>
      </c>
      <c r="W180" s="113" t="s">
        <v>40</v>
      </c>
      <c r="X180" s="62" t="str">
        <f t="shared" si="21"/>
        <v>1-UTZ0.38</v>
      </c>
      <c r="Y180" s="113" t="s">
        <v>182</v>
      </c>
      <c r="Z180" s="78"/>
    </row>
    <row r="181" spans="1:26" s="70" customFormat="1" ht="24.95" customHeight="1">
      <c r="A181" s="80"/>
      <c r="B181" s="71">
        <v>45323</v>
      </c>
      <c r="C181" s="72" t="s">
        <v>51</v>
      </c>
      <c r="D181" s="64" t="s">
        <v>20</v>
      </c>
      <c r="E181" s="14" t="str">
        <f t="shared" si="20"/>
        <v>H2A</v>
      </c>
      <c r="F181" s="112" t="s">
        <v>285</v>
      </c>
      <c r="G181" s="3" t="s">
        <v>26</v>
      </c>
      <c r="H181" s="73">
        <v>0.38</v>
      </c>
      <c r="I181" s="113" t="s">
        <v>286</v>
      </c>
      <c r="J181" s="114" t="s">
        <v>274</v>
      </c>
      <c r="K181" s="63" t="s">
        <v>613</v>
      </c>
      <c r="L181" s="119" t="s">
        <v>518</v>
      </c>
      <c r="M181" s="81"/>
      <c r="N181" s="115" t="s">
        <v>519</v>
      </c>
      <c r="O181" s="116" t="s">
        <v>176</v>
      </c>
      <c r="P181" s="62">
        <v>3</v>
      </c>
      <c r="Q181" s="62">
        <v>2</v>
      </c>
      <c r="R181" s="74">
        <v>45334</v>
      </c>
      <c r="S181" s="124">
        <v>45342</v>
      </c>
      <c r="T181" s="115" t="s">
        <v>19</v>
      </c>
      <c r="U181" s="101">
        <v>0</v>
      </c>
      <c r="V181" s="110">
        <v>2</v>
      </c>
      <c r="W181" s="113" t="s">
        <v>40</v>
      </c>
      <c r="X181" s="62" t="str">
        <f t="shared" si="21"/>
        <v>1-UTZ0.38</v>
      </c>
      <c r="Y181" s="113" t="s">
        <v>182</v>
      </c>
      <c r="Z181" s="78"/>
    </row>
    <row r="182" spans="1:26" s="70" customFormat="1" ht="24.95" customHeight="1">
      <c r="A182" s="80"/>
      <c r="B182" s="71">
        <v>45323</v>
      </c>
      <c r="C182" s="72" t="s">
        <v>51</v>
      </c>
      <c r="D182" s="64" t="s">
        <v>20</v>
      </c>
      <c r="E182" s="14" t="str">
        <f t="shared" si="20"/>
        <v>H5A</v>
      </c>
      <c r="F182" s="112" t="s">
        <v>429</v>
      </c>
      <c r="G182" s="3" t="s">
        <v>26</v>
      </c>
      <c r="H182" s="73">
        <v>0.42</v>
      </c>
      <c r="I182" s="113" t="s">
        <v>430</v>
      </c>
      <c r="J182" s="114" t="s">
        <v>614</v>
      </c>
      <c r="K182" s="120" t="s">
        <v>615</v>
      </c>
      <c r="L182" s="119" t="s">
        <v>616</v>
      </c>
      <c r="M182" s="81"/>
      <c r="N182" s="115" t="s">
        <v>434</v>
      </c>
      <c r="O182" s="116" t="s">
        <v>617</v>
      </c>
      <c r="P182" s="62">
        <v>1</v>
      </c>
      <c r="Q182" s="62">
        <v>4</v>
      </c>
      <c r="R182" s="74">
        <v>45345</v>
      </c>
      <c r="S182" s="124">
        <v>45351</v>
      </c>
      <c r="T182" s="115" t="s">
        <v>19</v>
      </c>
      <c r="U182" s="101">
        <v>4</v>
      </c>
      <c r="V182" s="110">
        <v>0</v>
      </c>
      <c r="W182" s="113" t="s">
        <v>40</v>
      </c>
      <c r="X182" s="62" t="str">
        <f t="shared" si="21"/>
        <v>2-ATZ-3000.42</v>
      </c>
      <c r="Y182" s="22" t="s">
        <v>32</v>
      </c>
      <c r="Z182" s="78"/>
    </row>
    <row r="183" spans="1:26" s="70" customFormat="1" ht="24.95" customHeight="1">
      <c r="A183" s="80"/>
      <c r="B183" s="71">
        <v>45323</v>
      </c>
      <c r="C183" s="72" t="s">
        <v>51</v>
      </c>
      <c r="D183" s="64" t="s">
        <v>20</v>
      </c>
      <c r="E183" s="14" t="str">
        <f t="shared" si="20"/>
        <v>H5B</v>
      </c>
      <c r="F183" s="112" t="s">
        <v>429</v>
      </c>
      <c r="G183" s="3" t="s">
        <v>26</v>
      </c>
      <c r="H183" s="73">
        <v>0.42</v>
      </c>
      <c r="I183" s="113" t="s">
        <v>430</v>
      </c>
      <c r="J183" s="114" t="s">
        <v>614</v>
      </c>
      <c r="K183" s="63" t="s">
        <v>618</v>
      </c>
      <c r="L183" s="119" t="s">
        <v>619</v>
      </c>
      <c r="M183" s="81"/>
      <c r="N183" s="115" t="s">
        <v>620</v>
      </c>
      <c r="O183" s="116" t="s">
        <v>621</v>
      </c>
      <c r="P183" s="62">
        <v>1</v>
      </c>
      <c r="Q183" s="62">
        <v>3</v>
      </c>
      <c r="R183" s="74">
        <v>45345</v>
      </c>
      <c r="S183" s="124">
        <v>45351</v>
      </c>
      <c r="T183" s="115" t="s">
        <v>19</v>
      </c>
      <c r="U183" s="101">
        <v>3</v>
      </c>
      <c r="V183" s="110">
        <v>0</v>
      </c>
      <c r="W183" s="113" t="s">
        <v>40</v>
      </c>
      <c r="X183" s="62" t="str">
        <f t="shared" si="21"/>
        <v>2-ATZ-3000.42</v>
      </c>
      <c r="Y183" s="113" t="s">
        <v>32</v>
      </c>
      <c r="Z183" s="78"/>
    </row>
    <row r="184" spans="1:26" s="70" customFormat="1" ht="24.95" customHeight="1">
      <c r="A184" s="80"/>
      <c r="B184" s="71">
        <v>45323</v>
      </c>
      <c r="C184" s="72" t="s">
        <v>51</v>
      </c>
      <c r="D184" s="64" t="s">
        <v>20</v>
      </c>
      <c r="E184" s="14" t="str">
        <f t="shared" si="20"/>
        <v>H5A</v>
      </c>
      <c r="F184" s="112" t="s">
        <v>429</v>
      </c>
      <c r="G184" s="3" t="s">
        <v>26</v>
      </c>
      <c r="H184" s="73">
        <v>0.42</v>
      </c>
      <c r="I184" s="113" t="s">
        <v>430</v>
      </c>
      <c r="J184" s="114" t="s">
        <v>614</v>
      </c>
      <c r="K184" s="120" t="s">
        <v>615</v>
      </c>
      <c r="L184" s="119" t="s">
        <v>622</v>
      </c>
      <c r="M184" s="81"/>
      <c r="N184" s="115" t="s">
        <v>623</v>
      </c>
      <c r="O184" s="116" t="s">
        <v>624</v>
      </c>
      <c r="P184" s="62">
        <v>1</v>
      </c>
      <c r="Q184" s="62">
        <v>5</v>
      </c>
      <c r="R184" s="74">
        <v>45345</v>
      </c>
      <c r="S184" s="124">
        <v>45351</v>
      </c>
      <c r="T184" s="115" t="s">
        <v>19</v>
      </c>
      <c r="U184" s="101">
        <v>5</v>
      </c>
      <c r="V184" s="110">
        <v>0</v>
      </c>
      <c r="W184" s="113" t="s">
        <v>40</v>
      </c>
      <c r="X184" s="62" t="str">
        <f t="shared" si="21"/>
        <v>2-ATZ-3000.42</v>
      </c>
      <c r="Y184" s="113" t="s">
        <v>32</v>
      </c>
      <c r="Z184" s="78"/>
    </row>
    <row r="185" spans="1:26" s="70" customFormat="1" ht="24.95" customHeight="1">
      <c r="A185" s="80"/>
      <c r="B185" s="71">
        <v>45323</v>
      </c>
      <c r="C185" s="72" t="s">
        <v>51</v>
      </c>
      <c r="D185" s="64" t="s">
        <v>20</v>
      </c>
      <c r="E185" s="14" t="str">
        <f t="shared" si="20"/>
        <v>H5A</v>
      </c>
      <c r="F185" s="112" t="s">
        <v>429</v>
      </c>
      <c r="G185" s="3" t="s">
        <v>26</v>
      </c>
      <c r="H185" s="73">
        <v>0.42</v>
      </c>
      <c r="I185" s="113" t="s">
        <v>430</v>
      </c>
      <c r="J185" s="114" t="s">
        <v>614</v>
      </c>
      <c r="K185" s="120" t="s">
        <v>615</v>
      </c>
      <c r="L185" s="119"/>
      <c r="M185" s="81"/>
      <c r="N185" s="115" t="s">
        <v>625</v>
      </c>
      <c r="O185" s="116" t="s">
        <v>626</v>
      </c>
      <c r="P185" s="62">
        <v>1</v>
      </c>
      <c r="Q185" s="62">
        <v>3</v>
      </c>
      <c r="R185" s="74">
        <v>45345</v>
      </c>
      <c r="S185" s="124">
        <v>45351</v>
      </c>
      <c r="T185" s="115" t="s">
        <v>19</v>
      </c>
      <c r="U185" s="101">
        <v>3</v>
      </c>
      <c r="V185" s="110">
        <v>0</v>
      </c>
      <c r="W185" s="113" t="s">
        <v>40</v>
      </c>
      <c r="X185" s="62" t="str">
        <f t="shared" si="21"/>
        <v>2-ATZ-3000.42</v>
      </c>
      <c r="Y185" s="113" t="s">
        <v>32</v>
      </c>
      <c r="Z185" s="78"/>
    </row>
    <row r="186" spans="1:26" s="70" customFormat="1" ht="24.95" customHeight="1">
      <c r="A186" s="80"/>
      <c r="B186" s="71">
        <v>45323</v>
      </c>
      <c r="C186" s="72" t="s">
        <v>51</v>
      </c>
      <c r="D186" s="64" t="s">
        <v>20</v>
      </c>
      <c r="E186" s="14" t="str">
        <f t="shared" si="20"/>
        <v>H5B</v>
      </c>
      <c r="F186" s="112" t="s">
        <v>429</v>
      </c>
      <c r="G186" s="3" t="s">
        <v>26</v>
      </c>
      <c r="H186" s="73">
        <v>0.42</v>
      </c>
      <c r="I186" s="113" t="s">
        <v>430</v>
      </c>
      <c r="J186" s="114" t="s">
        <v>614</v>
      </c>
      <c r="K186" s="120" t="s">
        <v>615</v>
      </c>
      <c r="L186" s="119" t="s">
        <v>622</v>
      </c>
      <c r="M186" s="81"/>
      <c r="N186" s="115" t="s">
        <v>627</v>
      </c>
      <c r="O186" s="116" t="s">
        <v>628</v>
      </c>
      <c r="P186" s="62">
        <v>1</v>
      </c>
      <c r="Q186" s="62">
        <v>3</v>
      </c>
      <c r="R186" s="74">
        <v>45345</v>
      </c>
      <c r="S186" s="124">
        <v>45351</v>
      </c>
      <c r="T186" s="115" t="s">
        <v>19</v>
      </c>
      <c r="U186" s="101">
        <v>3</v>
      </c>
      <c r="V186" s="110">
        <v>0</v>
      </c>
      <c r="W186" s="113" t="s">
        <v>40</v>
      </c>
      <c r="X186" s="62" t="str">
        <f t="shared" si="21"/>
        <v>2-ATZ-3000.42</v>
      </c>
      <c r="Y186" s="113" t="s">
        <v>32</v>
      </c>
      <c r="Z186" s="78"/>
    </row>
    <row r="187" spans="1:26" s="70" customFormat="1" ht="24.95" customHeight="1">
      <c r="A187" s="80"/>
      <c r="B187" s="99">
        <v>45323</v>
      </c>
      <c r="C187" s="94" t="s">
        <v>51</v>
      </c>
      <c r="D187" s="59" t="s">
        <v>20</v>
      </c>
      <c r="E187" s="14" t="str">
        <f t="shared" si="20"/>
        <v>H5B</v>
      </c>
      <c r="F187" s="111" t="s">
        <v>429</v>
      </c>
      <c r="G187" s="3" t="s">
        <v>26</v>
      </c>
      <c r="H187" s="95">
        <v>0.42</v>
      </c>
      <c r="I187" s="22" t="s">
        <v>430</v>
      </c>
      <c r="J187" s="109" t="s">
        <v>614</v>
      </c>
      <c r="K187" s="105" t="s">
        <v>615</v>
      </c>
      <c r="L187" s="125"/>
      <c r="M187" s="96"/>
      <c r="N187" s="45" t="s">
        <v>602</v>
      </c>
      <c r="O187" s="23" t="s">
        <v>629</v>
      </c>
      <c r="P187" s="88">
        <v>1</v>
      </c>
      <c r="Q187" s="88">
        <v>4</v>
      </c>
      <c r="R187" s="66">
        <v>45345</v>
      </c>
      <c r="S187" s="54">
        <v>45351</v>
      </c>
      <c r="T187" s="45" t="s">
        <v>19</v>
      </c>
      <c r="U187" s="100">
        <v>4</v>
      </c>
      <c r="V187" s="108">
        <v>0</v>
      </c>
      <c r="W187" s="22" t="s">
        <v>40</v>
      </c>
      <c r="X187" s="88" t="str">
        <f t="shared" si="21"/>
        <v>2-ATZ-3000.42</v>
      </c>
      <c r="Y187" s="22" t="s">
        <v>32</v>
      </c>
      <c r="Z187" s="78"/>
    </row>
    <row r="188" spans="1:26" s="70" customFormat="1" ht="24.95" customHeight="1">
      <c r="A188" s="80"/>
      <c r="B188" s="99">
        <v>45352</v>
      </c>
      <c r="C188" s="94" t="s">
        <v>35</v>
      </c>
      <c r="D188" s="59" t="s">
        <v>20</v>
      </c>
      <c r="E188" s="14" t="str">
        <f t="shared" si="20"/>
        <v>V6A</v>
      </c>
      <c r="F188" s="111" t="s">
        <v>633</v>
      </c>
      <c r="G188" s="3" t="s">
        <v>26</v>
      </c>
      <c r="H188" s="95">
        <v>1.25</v>
      </c>
      <c r="I188" s="22" t="s">
        <v>187</v>
      </c>
      <c r="J188" s="109" t="s">
        <v>207</v>
      </c>
      <c r="K188" s="105"/>
      <c r="L188" s="125" t="s">
        <v>210</v>
      </c>
      <c r="M188" s="96"/>
      <c r="N188" s="45" t="s">
        <v>634</v>
      </c>
      <c r="O188" s="23" t="s">
        <v>39</v>
      </c>
      <c r="P188" s="88">
        <v>3</v>
      </c>
      <c r="Q188" s="88">
        <v>1</v>
      </c>
      <c r="R188" s="66">
        <v>45364</v>
      </c>
      <c r="S188" s="54">
        <v>45369</v>
      </c>
      <c r="T188" s="45" t="s">
        <v>19</v>
      </c>
      <c r="U188" s="100">
        <v>1</v>
      </c>
      <c r="V188" s="108">
        <v>0</v>
      </c>
      <c r="W188" s="22" t="s">
        <v>40</v>
      </c>
      <c r="X188" s="88" t="str">
        <f t="shared" si="21"/>
        <v>2EIWAD-P1.25</v>
      </c>
      <c r="Y188" s="22" t="s">
        <v>32</v>
      </c>
      <c r="Z188" s="78"/>
    </row>
    <row r="189" spans="1:26" s="70" customFormat="1" ht="24.95" customHeight="1">
      <c r="A189" s="80"/>
      <c r="B189" s="99">
        <v>45352</v>
      </c>
      <c r="C189" s="94" t="s">
        <v>35</v>
      </c>
      <c r="D189" s="59" t="s">
        <v>20</v>
      </c>
      <c r="E189" s="14" t="str">
        <f t="shared" si="20"/>
        <v>V9B</v>
      </c>
      <c r="F189" s="111" t="s">
        <v>23</v>
      </c>
      <c r="G189" s="3" t="s">
        <v>26</v>
      </c>
      <c r="H189" s="95">
        <v>1.2</v>
      </c>
      <c r="I189" s="22" t="s">
        <v>25</v>
      </c>
      <c r="J189" s="109" t="s">
        <v>635</v>
      </c>
      <c r="K189" s="105"/>
      <c r="L189" s="125" t="s">
        <v>189</v>
      </c>
      <c r="M189" s="96"/>
      <c r="N189" s="45" t="s">
        <v>636</v>
      </c>
      <c r="O189" s="23" t="s">
        <v>29</v>
      </c>
      <c r="P189" s="88">
        <v>6</v>
      </c>
      <c r="Q189" s="88">
        <v>1</v>
      </c>
      <c r="R189" s="66">
        <v>45364</v>
      </c>
      <c r="S189" s="54">
        <v>45366</v>
      </c>
      <c r="T189" s="45" t="s">
        <v>19</v>
      </c>
      <c r="U189" s="100">
        <v>1</v>
      </c>
      <c r="V189" s="108">
        <v>0</v>
      </c>
      <c r="W189" s="22" t="s">
        <v>40</v>
      </c>
      <c r="X189" s="88" t="str">
        <f t="shared" si="21"/>
        <v>0FBWSHC1.2</v>
      </c>
      <c r="Y189" s="22" t="s">
        <v>32</v>
      </c>
      <c r="Z189" s="78"/>
    </row>
    <row r="190" spans="1:26" s="70" customFormat="1" ht="24.95" customHeight="1">
      <c r="A190" s="80"/>
      <c r="B190" s="99">
        <v>45352</v>
      </c>
      <c r="C190" s="94" t="s">
        <v>35</v>
      </c>
      <c r="D190" s="59" t="s">
        <v>20</v>
      </c>
      <c r="E190" s="14" t="str">
        <f t="shared" si="20"/>
        <v>V9A</v>
      </c>
      <c r="F190" s="111" t="s">
        <v>637</v>
      </c>
      <c r="G190" s="3" t="s">
        <v>26</v>
      </c>
      <c r="H190" s="95">
        <v>1.1000000000000001</v>
      </c>
      <c r="I190" s="22" t="s">
        <v>268</v>
      </c>
      <c r="J190" s="109" t="s">
        <v>162</v>
      </c>
      <c r="K190" s="105"/>
      <c r="L190" s="125" t="s">
        <v>208</v>
      </c>
      <c r="M190" s="96"/>
      <c r="N190" s="45" t="s">
        <v>638</v>
      </c>
      <c r="O190" s="23" t="s">
        <v>198</v>
      </c>
      <c r="P190" s="88">
        <v>2</v>
      </c>
      <c r="Q190" s="88">
        <v>2</v>
      </c>
      <c r="R190" s="66">
        <v>45365</v>
      </c>
      <c r="S190" s="54">
        <v>45370</v>
      </c>
      <c r="T190" s="45" t="s">
        <v>19</v>
      </c>
      <c r="U190" s="100">
        <v>2</v>
      </c>
      <c r="V190" s="108">
        <v>0</v>
      </c>
      <c r="W190" s="22" t="s">
        <v>40</v>
      </c>
      <c r="X190" s="88" t="str">
        <f t="shared" si="21"/>
        <v>0FBWCC1.1</v>
      </c>
      <c r="Y190" s="22" t="s">
        <v>32</v>
      </c>
      <c r="Z190" s="78"/>
    </row>
    <row r="191" spans="1:26" s="70" customFormat="1" ht="24.95" customHeight="1">
      <c r="A191" s="80"/>
      <c r="B191" s="99">
        <v>45352</v>
      </c>
      <c r="C191" s="94" t="s">
        <v>35</v>
      </c>
      <c r="D191" s="59" t="s">
        <v>20</v>
      </c>
      <c r="E191" s="14" t="str">
        <f t="shared" si="20"/>
        <v>VOA</v>
      </c>
      <c r="F191" s="111" t="s">
        <v>259</v>
      </c>
      <c r="G191" s="3" t="s">
        <v>26</v>
      </c>
      <c r="H191" s="95">
        <v>0.6</v>
      </c>
      <c r="I191" s="22" t="s">
        <v>31</v>
      </c>
      <c r="J191" s="109" t="s">
        <v>402</v>
      </c>
      <c r="K191" s="55" t="s">
        <v>639</v>
      </c>
      <c r="L191" s="126" t="s">
        <v>640</v>
      </c>
      <c r="M191" s="96"/>
      <c r="N191" s="45" t="s">
        <v>641</v>
      </c>
      <c r="O191" s="23" t="s">
        <v>263</v>
      </c>
      <c r="P191" s="88">
        <v>3</v>
      </c>
      <c r="Q191" s="88">
        <v>1</v>
      </c>
      <c r="R191" s="66">
        <v>45363</v>
      </c>
      <c r="S191" s="54">
        <v>45365</v>
      </c>
      <c r="T191" s="45" t="s">
        <v>19</v>
      </c>
      <c r="U191" s="100">
        <v>1</v>
      </c>
      <c r="V191" s="108">
        <v>0</v>
      </c>
      <c r="W191" s="22" t="s">
        <v>40</v>
      </c>
      <c r="X191" s="88" t="str">
        <f t="shared" si="21"/>
        <v>D1-PEW-B-2T0.6</v>
      </c>
      <c r="Y191" s="22" t="s">
        <v>32</v>
      </c>
      <c r="Z191" s="78"/>
    </row>
    <row r="192" spans="1:26" s="70" customFormat="1" ht="24.95" customHeight="1">
      <c r="A192" s="80"/>
      <c r="B192" s="99">
        <v>45352</v>
      </c>
      <c r="C192" s="94" t="s">
        <v>35</v>
      </c>
      <c r="D192" s="59" t="s">
        <v>20</v>
      </c>
      <c r="E192" s="14" t="str">
        <f t="shared" si="20"/>
        <v>11A</v>
      </c>
      <c r="F192" s="111" t="s">
        <v>42</v>
      </c>
      <c r="G192" s="15" t="s">
        <v>27</v>
      </c>
      <c r="H192" s="95">
        <v>0.75</v>
      </c>
      <c r="I192" s="22" t="s">
        <v>43</v>
      </c>
      <c r="J192" s="109" t="s">
        <v>47</v>
      </c>
      <c r="K192" s="105"/>
      <c r="L192" s="125" t="s">
        <v>60</v>
      </c>
      <c r="M192" s="96"/>
      <c r="N192" s="45" t="s">
        <v>642</v>
      </c>
      <c r="O192" s="23" t="s">
        <v>29</v>
      </c>
      <c r="P192" s="88">
        <v>4</v>
      </c>
      <c r="Q192" s="88">
        <v>1</v>
      </c>
      <c r="R192" s="66">
        <v>45362</v>
      </c>
      <c r="S192" s="54">
        <v>45364</v>
      </c>
      <c r="T192" s="45" t="s">
        <v>19</v>
      </c>
      <c r="U192" s="100">
        <v>1</v>
      </c>
      <c r="V192" s="108">
        <v>0</v>
      </c>
      <c r="W192" s="22" t="s">
        <v>40</v>
      </c>
      <c r="X192" s="88" t="str">
        <f t="shared" si="21"/>
        <v>D1-PEW-B-2Y0.75</v>
      </c>
      <c r="Y192" s="22" t="s">
        <v>32</v>
      </c>
      <c r="Z192" s="78"/>
    </row>
    <row r="193" spans="1:26" s="70" customFormat="1" ht="24.95" customHeight="1">
      <c r="A193" s="80"/>
      <c r="B193" s="99">
        <v>45352</v>
      </c>
      <c r="C193" s="94" t="s">
        <v>35</v>
      </c>
      <c r="D193" s="59" t="s">
        <v>20</v>
      </c>
      <c r="E193" s="14" t="str">
        <f t="shared" si="20"/>
        <v>12A</v>
      </c>
      <c r="F193" s="111" t="s">
        <v>165</v>
      </c>
      <c r="G193" s="3" t="s">
        <v>26</v>
      </c>
      <c r="H193" s="95">
        <v>1.81</v>
      </c>
      <c r="I193" s="22" t="s">
        <v>329</v>
      </c>
      <c r="J193" s="109" t="s">
        <v>350</v>
      </c>
      <c r="K193" s="55" t="s">
        <v>643</v>
      </c>
      <c r="L193" s="125" t="s">
        <v>644</v>
      </c>
      <c r="M193" s="96"/>
      <c r="N193" s="45" t="s">
        <v>645</v>
      </c>
      <c r="O193" s="23" t="s">
        <v>30</v>
      </c>
      <c r="P193" s="88">
        <v>3</v>
      </c>
      <c r="Q193" s="88">
        <v>1</v>
      </c>
      <c r="R193" s="66">
        <v>45363</v>
      </c>
      <c r="S193" s="54">
        <v>45364</v>
      </c>
      <c r="T193" s="45" t="s">
        <v>19</v>
      </c>
      <c r="U193" s="100">
        <v>1</v>
      </c>
      <c r="V193" s="108">
        <v>0</v>
      </c>
      <c r="W193" s="22" t="s">
        <v>40</v>
      </c>
      <c r="X193" s="88" t="str">
        <f t="shared" si="21"/>
        <v>2EIWAD-O1.81</v>
      </c>
      <c r="Y193" s="22" t="s">
        <v>32</v>
      </c>
      <c r="Z193" s="78"/>
    </row>
    <row r="194" spans="1:26" s="70" customFormat="1" ht="24.95" customHeight="1">
      <c r="A194" s="80"/>
      <c r="B194" s="99">
        <v>45352</v>
      </c>
      <c r="C194" s="94" t="s">
        <v>35</v>
      </c>
      <c r="D194" s="59" t="s">
        <v>20</v>
      </c>
      <c r="E194" s="14" t="str">
        <f t="shared" si="20"/>
        <v>11B</v>
      </c>
      <c r="F194" s="111" t="s">
        <v>24</v>
      </c>
      <c r="G194" s="3" t="s">
        <v>26</v>
      </c>
      <c r="H194" s="95">
        <v>0.8</v>
      </c>
      <c r="I194" s="22" t="s">
        <v>28</v>
      </c>
      <c r="J194" s="109" t="s">
        <v>45</v>
      </c>
      <c r="K194" s="105"/>
      <c r="L194" s="125" t="s">
        <v>646</v>
      </c>
      <c r="M194" s="96"/>
      <c r="N194" s="45" t="s">
        <v>647</v>
      </c>
      <c r="O194" s="23" t="s">
        <v>29</v>
      </c>
      <c r="P194" s="88">
        <v>4</v>
      </c>
      <c r="Q194" s="88">
        <v>1</v>
      </c>
      <c r="R194" s="66">
        <v>45357</v>
      </c>
      <c r="S194" s="54">
        <v>45359</v>
      </c>
      <c r="T194" s="45" t="s">
        <v>19</v>
      </c>
      <c r="U194" s="100">
        <v>1</v>
      </c>
      <c r="V194" s="108">
        <v>0</v>
      </c>
      <c r="W194" s="22" t="s">
        <v>40</v>
      </c>
      <c r="X194" s="88" t="str">
        <f t="shared" si="21"/>
        <v>2PEW0.8</v>
      </c>
      <c r="Y194" s="22" t="s">
        <v>32</v>
      </c>
      <c r="Z194" s="78"/>
    </row>
    <row r="195" spans="1:26" s="70" customFormat="1" ht="24.95" customHeight="1">
      <c r="A195" s="80"/>
      <c r="B195" s="99">
        <v>45352</v>
      </c>
      <c r="C195" s="94" t="s">
        <v>35</v>
      </c>
      <c r="D195" s="59" t="s">
        <v>20</v>
      </c>
      <c r="E195" s="14" t="str">
        <f t="shared" si="20"/>
        <v>V8B</v>
      </c>
      <c r="F195" s="111" t="s">
        <v>648</v>
      </c>
      <c r="G195" s="3" t="s">
        <v>26</v>
      </c>
      <c r="H195" s="95">
        <v>0.9</v>
      </c>
      <c r="I195" s="22" t="s">
        <v>25</v>
      </c>
      <c r="J195" s="109" t="s">
        <v>162</v>
      </c>
      <c r="K195" s="105"/>
      <c r="L195" s="126" t="s">
        <v>649</v>
      </c>
      <c r="M195" s="96"/>
      <c r="N195" s="45" t="s">
        <v>650</v>
      </c>
      <c r="O195" s="23" t="s">
        <v>30</v>
      </c>
      <c r="P195" s="88">
        <v>1.2</v>
      </c>
      <c r="Q195" s="88">
        <v>2</v>
      </c>
      <c r="R195" s="66">
        <v>45359</v>
      </c>
      <c r="S195" s="54">
        <v>45359</v>
      </c>
      <c r="T195" s="45" t="s">
        <v>19</v>
      </c>
      <c r="U195" s="100">
        <v>2</v>
      </c>
      <c r="V195" s="108">
        <v>0</v>
      </c>
      <c r="W195" s="22" t="s">
        <v>40</v>
      </c>
      <c r="X195" s="88" t="str">
        <f t="shared" si="21"/>
        <v>1AIW0.9</v>
      </c>
      <c r="Y195" s="22" t="s">
        <v>32</v>
      </c>
      <c r="Z195" s="78"/>
    </row>
    <row r="196" spans="1:26" s="70" customFormat="1" ht="24.95" customHeight="1">
      <c r="A196" s="80"/>
      <c r="B196" s="99">
        <v>45352</v>
      </c>
      <c r="C196" s="94" t="s">
        <v>35</v>
      </c>
      <c r="D196" s="59" t="s">
        <v>20</v>
      </c>
      <c r="E196" s="14" t="str">
        <f t="shared" si="20"/>
        <v>V8B</v>
      </c>
      <c r="F196" s="111" t="s">
        <v>648</v>
      </c>
      <c r="G196" s="3" t="s">
        <v>26</v>
      </c>
      <c r="H196" s="95">
        <v>0.9</v>
      </c>
      <c r="I196" s="22" t="s">
        <v>25</v>
      </c>
      <c r="J196" s="109" t="s">
        <v>651</v>
      </c>
      <c r="K196" s="105"/>
      <c r="L196" s="126" t="s">
        <v>652</v>
      </c>
      <c r="M196" s="96"/>
      <c r="N196" s="45" t="s">
        <v>653</v>
      </c>
      <c r="O196" s="23" t="s">
        <v>29</v>
      </c>
      <c r="P196" s="88">
        <v>1.2</v>
      </c>
      <c r="Q196" s="88">
        <v>2</v>
      </c>
      <c r="R196" s="66">
        <v>45358</v>
      </c>
      <c r="S196" s="54">
        <v>45359</v>
      </c>
      <c r="T196" s="45" t="s">
        <v>19</v>
      </c>
      <c r="U196" s="100">
        <v>2</v>
      </c>
      <c r="V196" s="108">
        <v>0</v>
      </c>
      <c r="W196" s="22" t="s">
        <v>40</v>
      </c>
      <c r="X196" s="88" t="str">
        <f t="shared" si="21"/>
        <v>1AIW0.9</v>
      </c>
      <c r="Y196" s="22" t="s">
        <v>32</v>
      </c>
      <c r="Z196" s="78"/>
    </row>
    <row r="197" spans="1:26" s="70" customFormat="1" ht="24.95" customHeight="1">
      <c r="A197" s="80"/>
      <c r="B197" s="99">
        <v>45352</v>
      </c>
      <c r="C197" s="94" t="s">
        <v>35</v>
      </c>
      <c r="D197" s="59" t="s">
        <v>20</v>
      </c>
      <c r="E197" s="14" t="str">
        <f t="shared" si="20"/>
        <v>11A</v>
      </c>
      <c r="F197" s="111" t="s">
        <v>42</v>
      </c>
      <c r="G197" s="15" t="s">
        <v>27</v>
      </c>
      <c r="H197" s="95">
        <v>0.75</v>
      </c>
      <c r="I197" s="22" t="s">
        <v>43</v>
      </c>
      <c r="J197" s="109" t="s">
        <v>654</v>
      </c>
      <c r="K197" s="105"/>
      <c r="L197" s="126" t="s">
        <v>655</v>
      </c>
      <c r="M197" s="96"/>
      <c r="N197" s="45" t="s">
        <v>656</v>
      </c>
      <c r="O197" s="23" t="s">
        <v>30</v>
      </c>
      <c r="P197" s="88">
        <v>4</v>
      </c>
      <c r="Q197" s="88">
        <v>1</v>
      </c>
      <c r="R197" s="66">
        <v>45354</v>
      </c>
      <c r="S197" s="54">
        <v>45355</v>
      </c>
      <c r="T197" s="45" t="s">
        <v>19</v>
      </c>
      <c r="U197" s="100">
        <v>1</v>
      </c>
      <c r="V197" s="108">
        <v>0</v>
      </c>
      <c r="W197" s="22" t="s">
        <v>40</v>
      </c>
      <c r="X197" s="88" t="str">
        <f t="shared" si="21"/>
        <v>D1-PEW-B-2Y0.75</v>
      </c>
      <c r="Y197" s="22" t="s">
        <v>32</v>
      </c>
      <c r="Z197" s="78"/>
    </row>
    <row r="198" spans="1:26" s="70" customFormat="1" ht="24.95" customHeight="1">
      <c r="A198" s="80"/>
      <c r="B198" s="99">
        <v>45352</v>
      </c>
      <c r="C198" s="94" t="s">
        <v>35</v>
      </c>
      <c r="D198" s="59" t="s">
        <v>20</v>
      </c>
      <c r="E198" s="14" t="str">
        <f t="shared" si="20"/>
        <v>11A</v>
      </c>
      <c r="F198" s="111" t="s">
        <v>42</v>
      </c>
      <c r="G198" s="3" t="s">
        <v>26</v>
      </c>
      <c r="H198" s="95">
        <v>0.75</v>
      </c>
      <c r="I198" s="22" t="s">
        <v>43</v>
      </c>
      <c r="J198" s="109" t="s">
        <v>657</v>
      </c>
      <c r="K198" s="105"/>
      <c r="L198" s="126" t="s">
        <v>658</v>
      </c>
      <c r="M198" s="96"/>
      <c r="N198" s="45" t="s">
        <v>659</v>
      </c>
      <c r="O198" s="23" t="s">
        <v>29</v>
      </c>
      <c r="P198" s="88">
        <v>4</v>
      </c>
      <c r="Q198" s="88">
        <v>1</v>
      </c>
      <c r="R198" s="66">
        <v>45354</v>
      </c>
      <c r="S198" s="54">
        <v>45355</v>
      </c>
      <c r="T198" s="45" t="s">
        <v>19</v>
      </c>
      <c r="U198" s="100">
        <v>1</v>
      </c>
      <c r="V198" s="108">
        <v>0</v>
      </c>
      <c r="W198" s="22" t="s">
        <v>40</v>
      </c>
      <c r="X198" s="88" t="str">
        <f t="shared" si="21"/>
        <v>D1-PEW-B-2Y0.75</v>
      </c>
      <c r="Y198" s="22" t="s">
        <v>32</v>
      </c>
      <c r="Z198" s="78"/>
    </row>
    <row r="199" spans="1:26" s="70" customFormat="1" ht="24.95" customHeight="1">
      <c r="A199" s="80"/>
      <c r="B199" s="99">
        <v>45352</v>
      </c>
      <c r="C199" s="94" t="s">
        <v>35</v>
      </c>
      <c r="D199" s="59" t="s">
        <v>20</v>
      </c>
      <c r="E199" s="14" t="str">
        <f t="shared" si="20"/>
        <v>11A</v>
      </c>
      <c r="F199" s="111" t="s">
        <v>42</v>
      </c>
      <c r="G199" s="15" t="s">
        <v>27</v>
      </c>
      <c r="H199" s="95">
        <v>0.75</v>
      </c>
      <c r="I199" s="22" t="s">
        <v>43</v>
      </c>
      <c r="J199" s="109" t="s">
        <v>660</v>
      </c>
      <c r="K199" s="105"/>
      <c r="L199" s="109" t="s">
        <v>661</v>
      </c>
      <c r="M199" s="96"/>
      <c r="N199" s="45" t="s">
        <v>659</v>
      </c>
      <c r="O199" s="23" t="s">
        <v>29</v>
      </c>
      <c r="P199" s="45" t="s">
        <v>662</v>
      </c>
      <c r="Q199" s="88">
        <v>5</v>
      </c>
      <c r="R199" s="54">
        <v>45355</v>
      </c>
      <c r="S199" s="54">
        <v>45363</v>
      </c>
      <c r="T199" s="45" t="s">
        <v>19</v>
      </c>
      <c r="U199" s="100">
        <v>5</v>
      </c>
      <c r="V199" s="108">
        <v>0</v>
      </c>
      <c r="W199" s="22" t="s">
        <v>40</v>
      </c>
      <c r="X199" s="88" t="str">
        <f t="shared" si="21"/>
        <v>D1-PEW-B-2Y0.75</v>
      </c>
      <c r="Y199" s="22" t="s">
        <v>32</v>
      </c>
      <c r="Z199" s="78"/>
    </row>
    <row r="200" spans="1:26" s="70" customFormat="1" ht="24.95" customHeight="1">
      <c r="A200" s="80"/>
      <c r="B200" s="99">
        <v>45352</v>
      </c>
      <c r="C200" s="94" t="s">
        <v>35</v>
      </c>
      <c r="D200" s="59" t="s">
        <v>20</v>
      </c>
      <c r="E200" s="14" t="str">
        <f t="shared" si="20"/>
        <v>V8D</v>
      </c>
      <c r="F200" s="111" t="s">
        <v>24</v>
      </c>
      <c r="G200" s="3" t="s">
        <v>26</v>
      </c>
      <c r="H200" s="95">
        <v>1</v>
      </c>
      <c r="I200" s="22" t="s">
        <v>28</v>
      </c>
      <c r="J200" s="109" t="s">
        <v>45</v>
      </c>
      <c r="K200" s="105"/>
      <c r="L200" s="125" t="s">
        <v>208</v>
      </c>
      <c r="M200" s="96"/>
      <c r="N200" s="45" t="s">
        <v>663</v>
      </c>
      <c r="O200" s="23" t="s">
        <v>30</v>
      </c>
      <c r="P200" s="88">
        <v>3</v>
      </c>
      <c r="Q200" s="88">
        <v>1</v>
      </c>
      <c r="R200" s="66">
        <v>45360</v>
      </c>
      <c r="S200" s="54">
        <v>45363</v>
      </c>
      <c r="T200" s="45" t="s">
        <v>19</v>
      </c>
      <c r="U200" s="100">
        <v>10</v>
      </c>
      <c r="V200" s="108">
        <v>0</v>
      </c>
      <c r="W200" s="22" t="s">
        <v>40</v>
      </c>
      <c r="X200" s="95" t="str">
        <f t="shared" ref="X200:X207" si="22">F200&amp;H200</f>
        <v>2PEW1</v>
      </c>
      <c r="Y200" s="22" t="s">
        <v>32</v>
      </c>
      <c r="Z200" s="78"/>
    </row>
    <row r="201" spans="1:26" s="70" customFormat="1" ht="24.95" customHeight="1">
      <c r="A201" s="80"/>
      <c r="B201" s="99">
        <v>45352</v>
      </c>
      <c r="C201" s="94" t="s">
        <v>35</v>
      </c>
      <c r="D201" s="59" t="s">
        <v>20</v>
      </c>
      <c r="E201" s="14" t="str">
        <f t="shared" si="20"/>
        <v>11B</v>
      </c>
      <c r="F201" s="111" t="s">
        <v>24</v>
      </c>
      <c r="G201" s="3" t="s">
        <v>26</v>
      </c>
      <c r="H201" s="95">
        <v>0.8</v>
      </c>
      <c r="I201" s="22" t="s">
        <v>28</v>
      </c>
      <c r="J201" s="109" t="s">
        <v>45</v>
      </c>
      <c r="K201" s="105"/>
      <c r="L201" s="125" t="s">
        <v>664</v>
      </c>
      <c r="M201" s="96"/>
      <c r="N201" s="45" t="s">
        <v>665</v>
      </c>
      <c r="O201" s="23" t="s">
        <v>39</v>
      </c>
      <c r="P201" s="88">
        <v>4.5</v>
      </c>
      <c r="Q201" s="88">
        <v>2</v>
      </c>
      <c r="R201" s="66">
        <v>45360</v>
      </c>
      <c r="S201" s="54">
        <v>45363</v>
      </c>
      <c r="T201" s="45" t="s">
        <v>19</v>
      </c>
      <c r="U201" s="100">
        <v>2</v>
      </c>
      <c r="V201" s="108">
        <v>0</v>
      </c>
      <c r="W201" s="22" t="s">
        <v>40</v>
      </c>
      <c r="X201" s="88" t="str">
        <f t="shared" si="22"/>
        <v>2PEW0.8</v>
      </c>
      <c r="Y201" s="22" t="s">
        <v>32</v>
      </c>
      <c r="Z201" s="78"/>
    </row>
    <row r="202" spans="1:26" s="70" customFormat="1" ht="24.95" customHeight="1">
      <c r="A202" s="80"/>
      <c r="B202" s="99">
        <v>45352</v>
      </c>
      <c r="C202" s="94" t="s">
        <v>35</v>
      </c>
      <c r="D202" s="59" t="s">
        <v>20</v>
      </c>
      <c r="E202" s="14" t="str">
        <f t="shared" si="20"/>
        <v>V8B</v>
      </c>
      <c r="F202" s="111" t="s">
        <v>648</v>
      </c>
      <c r="G202" s="3" t="s">
        <v>26</v>
      </c>
      <c r="H202" s="95">
        <v>0.9</v>
      </c>
      <c r="I202" s="22" t="s">
        <v>25</v>
      </c>
      <c r="J202" s="109" t="s">
        <v>162</v>
      </c>
      <c r="K202" s="105"/>
      <c r="L202" s="125" t="s">
        <v>420</v>
      </c>
      <c r="M202" s="96"/>
      <c r="N202" s="45" t="s">
        <v>653</v>
      </c>
      <c r="O202" s="23" t="s">
        <v>29</v>
      </c>
      <c r="P202" s="88">
        <v>1.2</v>
      </c>
      <c r="Q202" s="88">
        <v>2</v>
      </c>
      <c r="R202" s="66">
        <v>45359</v>
      </c>
      <c r="S202" s="54">
        <v>45363</v>
      </c>
      <c r="T202" s="45" t="s">
        <v>19</v>
      </c>
      <c r="U202" s="100">
        <v>2</v>
      </c>
      <c r="V202" s="108">
        <v>0</v>
      </c>
      <c r="W202" s="22" t="s">
        <v>40</v>
      </c>
      <c r="X202" s="88" t="str">
        <f t="shared" si="22"/>
        <v>1AIW0.9</v>
      </c>
      <c r="Y202" s="22" t="s">
        <v>32</v>
      </c>
      <c r="Z202" s="78"/>
    </row>
    <row r="203" spans="1:26" s="70" customFormat="1" ht="24.75" customHeight="1">
      <c r="A203" s="80"/>
      <c r="B203" s="99">
        <v>45352</v>
      </c>
      <c r="C203" s="94" t="s">
        <v>35</v>
      </c>
      <c r="D203" s="59" t="s">
        <v>20</v>
      </c>
      <c r="E203" s="14" t="str">
        <f t="shared" si="20"/>
        <v>V9A</v>
      </c>
      <c r="F203" s="111" t="s">
        <v>637</v>
      </c>
      <c r="G203" s="3" t="s">
        <v>26</v>
      </c>
      <c r="H203" s="95">
        <v>1</v>
      </c>
      <c r="I203" s="22" t="s">
        <v>268</v>
      </c>
      <c r="J203" s="109" t="s">
        <v>666</v>
      </c>
      <c r="K203" s="105"/>
      <c r="L203" s="126" t="s">
        <v>667</v>
      </c>
      <c r="M203" s="96"/>
      <c r="N203" s="45" t="s">
        <v>668</v>
      </c>
      <c r="O203" s="23" t="s">
        <v>30</v>
      </c>
      <c r="P203" s="45" t="s">
        <v>421</v>
      </c>
      <c r="Q203" s="88">
        <v>4</v>
      </c>
      <c r="R203" s="66">
        <v>45362</v>
      </c>
      <c r="S203" s="54">
        <v>45363</v>
      </c>
      <c r="T203" s="45" t="s">
        <v>19</v>
      </c>
      <c r="U203" s="100">
        <v>4</v>
      </c>
      <c r="V203" s="108">
        <v>0</v>
      </c>
      <c r="W203" s="22" t="s">
        <v>40</v>
      </c>
      <c r="X203" s="88" t="str">
        <f t="shared" si="22"/>
        <v>0FBWCC1</v>
      </c>
      <c r="Y203" s="22" t="s">
        <v>32</v>
      </c>
      <c r="Z203" s="78"/>
    </row>
    <row r="204" spans="1:26" s="70" customFormat="1" ht="24.95" customHeight="1">
      <c r="A204" s="80"/>
      <c r="B204" s="99">
        <v>45352</v>
      </c>
      <c r="C204" s="127" t="s">
        <v>35</v>
      </c>
      <c r="D204" s="59" t="s">
        <v>20</v>
      </c>
      <c r="E204" s="14" t="str">
        <f t="shared" si="20"/>
        <v>V8A</v>
      </c>
      <c r="F204" s="111" t="s">
        <v>529</v>
      </c>
      <c r="G204" s="15" t="s">
        <v>27</v>
      </c>
      <c r="H204" s="95">
        <v>1.8</v>
      </c>
      <c r="I204" s="22" t="s">
        <v>530</v>
      </c>
      <c r="J204" s="109" t="s">
        <v>669</v>
      </c>
      <c r="K204" s="109" t="s">
        <v>669</v>
      </c>
      <c r="L204" s="125" t="s">
        <v>670</v>
      </c>
      <c r="M204" s="96"/>
      <c r="N204" s="45" t="s">
        <v>671</v>
      </c>
      <c r="O204" s="23" t="s">
        <v>30</v>
      </c>
      <c r="P204" s="45" t="s">
        <v>672</v>
      </c>
      <c r="Q204" s="88">
        <v>6</v>
      </c>
      <c r="R204" s="66">
        <v>45359</v>
      </c>
      <c r="S204" s="54">
        <v>45364</v>
      </c>
      <c r="T204" s="45" t="s">
        <v>19</v>
      </c>
      <c r="U204" s="100">
        <v>6</v>
      </c>
      <c r="V204" s="108">
        <v>0</v>
      </c>
      <c r="W204" s="22" t="s">
        <v>40</v>
      </c>
      <c r="X204" s="88" t="str">
        <f t="shared" si="22"/>
        <v>1PEW1.8</v>
      </c>
      <c r="Y204" s="22" t="s">
        <v>32</v>
      </c>
      <c r="Z204" s="78"/>
    </row>
    <row r="205" spans="1:26" s="70" customFormat="1" ht="24.95" customHeight="1">
      <c r="A205" s="80"/>
      <c r="B205" s="99">
        <v>45352</v>
      </c>
      <c r="C205" s="127" t="s">
        <v>35</v>
      </c>
      <c r="D205" s="59" t="s">
        <v>20</v>
      </c>
      <c r="E205" s="14" t="str">
        <f t="shared" si="20"/>
        <v>V9A</v>
      </c>
      <c r="F205" s="111" t="s">
        <v>23</v>
      </c>
      <c r="G205" s="15" t="s">
        <v>27</v>
      </c>
      <c r="H205" s="95">
        <v>0.95</v>
      </c>
      <c r="I205" s="22" t="s">
        <v>25</v>
      </c>
      <c r="J205" s="109" t="s">
        <v>673</v>
      </c>
      <c r="K205" s="105"/>
      <c r="L205" s="125" t="s">
        <v>674</v>
      </c>
      <c r="M205" s="96"/>
      <c r="N205" s="45" t="s">
        <v>675</v>
      </c>
      <c r="O205" s="23" t="s">
        <v>30</v>
      </c>
      <c r="P205" s="45" t="s">
        <v>676</v>
      </c>
      <c r="Q205" s="88">
        <v>7</v>
      </c>
      <c r="R205" s="66">
        <v>45357</v>
      </c>
      <c r="S205" s="54">
        <v>45365</v>
      </c>
      <c r="T205" s="45" t="s">
        <v>19</v>
      </c>
      <c r="U205" s="100">
        <v>7</v>
      </c>
      <c r="V205" s="108">
        <v>0</v>
      </c>
      <c r="W205" s="22" t="s">
        <v>40</v>
      </c>
      <c r="X205" s="88" t="str">
        <f t="shared" si="22"/>
        <v>0FBWSHC0.95</v>
      </c>
      <c r="Y205" s="22" t="s">
        <v>32</v>
      </c>
      <c r="Z205" s="78"/>
    </row>
    <row r="206" spans="1:26" s="70" customFormat="1" ht="24.95" customHeight="1">
      <c r="A206" s="80"/>
      <c r="B206" s="99">
        <v>45352</v>
      </c>
      <c r="C206" s="127" t="s">
        <v>35</v>
      </c>
      <c r="D206" s="59" t="s">
        <v>20</v>
      </c>
      <c r="E206" s="14" t="str">
        <f t="shared" si="20"/>
        <v>V9A</v>
      </c>
      <c r="F206" s="111" t="s">
        <v>23</v>
      </c>
      <c r="G206" s="15" t="s">
        <v>27</v>
      </c>
      <c r="H206" s="95">
        <v>0.95</v>
      </c>
      <c r="I206" s="22" t="s">
        <v>25</v>
      </c>
      <c r="J206" s="109" t="s">
        <v>677</v>
      </c>
      <c r="K206" s="55" t="s">
        <v>678</v>
      </c>
      <c r="L206" s="125" t="s">
        <v>679</v>
      </c>
      <c r="M206" s="96"/>
      <c r="N206" s="45" t="s">
        <v>675</v>
      </c>
      <c r="O206" s="23" t="s">
        <v>29</v>
      </c>
      <c r="P206" s="45" t="s">
        <v>680</v>
      </c>
      <c r="Q206" s="88">
        <v>5</v>
      </c>
      <c r="R206" s="66">
        <v>45359</v>
      </c>
      <c r="S206" s="54">
        <v>45364</v>
      </c>
      <c r="T206" s="45" t="s">
        <v>19</v>
      </c>
      <c r="U206" s="100">
        <v>5</v>
      </c>
      <c r="V206" s="108">
        <v>0</v>
      </c>
      <c r="W206" s="22" t="s">
        <v>40</v>
      </c>
      <c r="X206" s="88" t="str">
        <f t="shared" si="22"/>
        <v>0FBWSHC0.95</v>
      </c>
      <c r="Y206" s="22" t="s">
        <v>32</v>
      </c>
      <c r="Z206" s="78"/>
    </row>
    <row r="207" spans="1:26" s="70" customFormat="1" ht="24.95" customHeight="1">
      <c r="A207" s="80"/>
      <c r="B207" s="99">
        <v>45352</v>
      </c>
      <c r="C207" s="127" t="s">
        <v>35</v>
      </c>
      <c r="D207" s="59" t="s">
        <v>20</v>
      </c>
      <c r="E207" s="14" t="str">
        <f t="shared" si="20"/>
        <v>V6B</v>
      </c>
      <c r="F207" s="111" t="s">
        <v>165</v>
      </c>
      <c r="G207" s="15" t="s">
        <v>27</v>
      </c>
      <c r="H207" s="95">
        <v>1.65</v>
      </c>
      <c r="I207" s="22" t="s">
        <v>321</v>
      </c>
      <c r="J207" s="109" t="s">
        <v>323</v>
      </c>
      <c r="K207" s="105"/>
      <c r="L207" s="125" t="s">
        <v>373</v>
      </c>
      <c r="M207" s="96"/>
      <c r="N207" s="45" t="s">
        <v>681</v>
      </c>
      <c r="O207" s="23" t="s">
        <v>30</v>
      </c>
      <c r="P207" s="88">
        <v>1</v>
      </c>
      <c r="Q207" s="88">
        <v>1</v>
      </c>
      <c r="R207" s="66">
        <v>45359</v>
      </c>
      <c r="S207" s="54">
        <v>45364</v>
      </c>
      <c r="T207" s="45" t="s">
        <v>19</v>
      </c>
      <c r="U207" s="100">
        <v>1</v>
      </c>
      <c r="V207" s="108">
        <v>0</v>
      </c>
      <c r="W207" s="22" t="s">
        <v>40</v>
      </c>
      <c r="X207" s="88" t="str">
        <f t="shared" si="22"/>
        <v>2EIWAD-O1.65</v>
      </c>
      <c r="Y207" s="22" t="s">
        <v>32</v>
      </c>
      <c r="Z207" s="78"/>
    </row>
    <row r="208" spans="1:26" s="70" customFormat="1" ht="24.95" customHeight="1">
      <c r="A208" s="80"/>
      <c r="B208" s="99">
        <v>45352</v>
      </c>
      <c r="C208" s="127" t="s">
        <v>35</v>
      </c>
      <c r="D208" s="59" t="s">
        <v>20</v>
      </c>
      <c r="E208" s="14" t="str">
        <f t="shared" si="20"/>
        <v>V6B</v>
      </c>
      <c r="F208" s="111" t="s">
        <v>165</v>
      </c>
      <c r="G208" s="15" t="s">
        <v>27</v>
      </c>
      <c r="H208" s="95">
        <v>1.65</v>
      </c>
      <c r="I208" s="22" t="s">
        <v>321</v>
      </c>
      <c r="J208" s="109" t="s">
        <v>682</v>
      </c>
      <c r="K208" s="55" t="s">
        <v>683</v>
      </c>
      <c r="L208" s="125" t="s">
        <v>684</v>
      </c>
      <c r="M208" s="96"/>
      <c r="N208" s="45" t="s">
        <v>685</v>
      </c>
      <c r="O208" s="23" t="s">
        <v>30</v>
      </c>
      <c r="P208" s="88">
        <v>3.6</v>
      </c>
      <c r="Q208" s="88">
        <v>2</v>
      </c>
      <c r="R208" s="66">
        <v>45363</v>
      </c>
      <c r="S208" s="54">
        <v>45364</v>
      </c>
      <c r="T208" s="45" t="s">
        <v>19</v>
      </c>
      <c r="U208" s="100">
        <v>2</v>
      </c>
      <c r="V208" s="108">
        <v>0</v>
      </c>
      <c r="W208" s="22" t="s">
        <v>40</v>
      </c>
      <c r="X208" s="88" t="str">
        <f t="shared" ref="X208:X261" si="23">F208&amp;H208</f>
        <v>2EIWAD-O1.65</v>
      </c>
      <c r="Y208" s="22" t="s">
        <v>32</v>
      </c>
      <c r="Z208" s="78"/>
    </row>
    <row r="209" spans="1:26" s="70" customFormat="1" ht="24.95" customHeight="1">
      <c r="A209" s="80"/>
      <c r="B209" s="99">
        <v>45352</v>
      </c>
      <c r="C209" s="127" t="s">
        <v>35</v>
      </c>
      <c r="D209" s="59" t="s">
        <v>20</v>
      </c>
      <c r="E209" s="14" t="str">
        <f t="shared" si="20"/>
        <v>V6B</v>
      </c>
      <c r="F209" s="111" t="s">
        <v>165</v>
      </c>
      <c r="G209" s="15" t="s">
        <v>27</v>
      </c>
      <c r="H209" s="95">
        <v>1.65</v>
      </c>
      <c r="I209" s="22" t="s">
        <v>321</v>
      </c>
      <c r="J209" s="109" t="s">
        <v>323</v>
      </c>
      <c r="K209" s="105"/>
      <c r="L209" s="125" t="s">
        <v>373</v>
      </c>
      <c r="M209" s="96"/>
      <c r="N209" s="45" t="s">
        <v>686</v>
      </c>
      <c r="O209" s="23" t="s">
        <v>30</v>
      </c>
      <c r="P209" s="88">
        <v>2</v>
      </c>
      <c r="Q209" s="88">
        <v>1</v>
      </c>
      <c r="R209" s="66">
        <v>45360</v>
      </c>
      <c r="S209" s="54">
        <v>45364</v>
      </c>
      <c r="T209" s="128" t="s">
        <v>19</v>
      </c>
      <c r="U209" s="100">
        <v>1</v>
      </c>
      <c r="V209" s="108">
        <v>0</v>
      </c>
      <c r="W209" s="22" t="s">
        <v>40</v>
      </c>
      <c r="X209" s="88" t="str">
        <f t="shared" si="23"/>
        <v>2EIWAD-O1.65</v>
      </c>
      <c r="Y209" s="22" t="s">
        <v>32</v>
      </c>
      <c r="Z209" s="78"/>
    </row>
    <row r="210" spans="1:26" s="70" customFormat="1" ht="24.95" customHeight="1">
      <c r="A210" s="80"/>
      <c r="B210" s="99">
        <v>45352</v>
      </c>
      <c r="C210" s="127" t="s">
        <v>35</v>
      </c>
      <c r="D210" s="59" t="s">
        <v>20</v>
      </c>
      <c r="E210" s="14" t="str">
        <f t="shared" si="20"/>
        <v>V6B</v>
      </c>
      <c r="F210" s="111" t="s">
        <v>165</v>
      </c>
      <c r="G210" s="15" t="s">
        <v>27</v>
      </c>
      <c r="H210" s="95">
        <v>1.65</v>
      </c>
      <c r="I210" s="22" t="s">
        <v>321</v>
      </c>
      <c r="J210" s="109" t="s">
        <v>323</v>
      </c>
      <c r="K210" s="109" t="s">
        <v>323</v>
      </c>
      <c r="L210" s="125" t="s">
        <v>373</v>
      </c>
      <c r="M210" s="96"/>
      <c r="N210" s="45" t="s">
        <v>687</v>
      </c>
      <c r="O210" s="23" t="s">
        <v>30</v>
      </c>
      <c r="P210" s="45" t="s">
        <v>688</v>
      </c>
      <c r="Q210" s="88">
        <v>3</v>
      </c>
      <c r="R210" s="66">
        <v>45360</v>
      </c>
      <c r="S210" s="54">
        <v>45364</v>
      </c>
      <c r="T210" s="45" t="s">
        <v>19</v>
      </c>
      <c r="U210" s="100">
        <v>3</v>
      </c>
      <c r="V210" s="108">
        <v>0</v>
      </c>
      <c r="W210" s="22" t="s">
        <v>40</v>
      </c>
      <c r="X210" s="88" t="str">
        <f t="shared" si="23"/>
        <v>2EIWAD-O1.65</v>
      </c>
      <c r="Y210" s="22" t="s">
        <v>32</v>
      </c>
      <c r="Z210" s="78"/>
    </row>
    <row r="211" spans="1:26" s="70" customFormat="1" ht="24.95" customHeight="1">
      <c r="A211" s="80"/>
      <c r="B211" s="99">
        <v>45352</v>
      </c>
      <c r="C211" s="127" t="s">
        <v>35</v>
      </c>
      <c r="D211" s="59" t="s">
        <v>20</v>
      </c>
      <c r="E211" s="14" t="str">
        <f t="shared" si="20"/>
        <v>V4A</v>
      </c>
      <c r="F211" s="111" t="s">
        <v>358</v>
      </c>
      <c r="G211" s="15" t="s">
        <v>27</v>
      </c>
      <c r="H211" s="95">
        <v>0.49</v>
      </c>
      <c r="I211" s="22" t="s">
        <v>689</v>
      </c>
      <c r="J211" s="109" t="s">
        <v>690</v>
      </c>
      <c r="K211" s="105"/>
      <c r="L211" s="125" t="s">
        <v>208</v>
      </c>
      <c r="M211" s="96"/>
      <c r="N211" s="45" t="s">
        <v>691</v>
      </c>
      <c r="O211" s="23" t="s">
        <v>39</v>
      </c>
      <c r="P211" s="45" t="s">
        <v>54</v>
      </c>
      <c r="Q211" s="88">
        <v>10</v>
      </c>
      <c r="R211" s="66">
        <v>45357</v>
      </c>
      <c r="S211" s="54">
        <v>45364</v>
      </c>
      <c r="T211" s="45" t="s">
        <v>19</v>
      </c>
      <c r="U211" s="100">
        <v>10</v>
      </c>
      <c r="V211" s="108">
        <v>0</v>
      </c>
      <c r="W211" s="22" t="s">
        <v>40</v>
      </c>
      <c r="X211" s="88" t="str">
        <f t="shared" si="23"/>
        <v>T3-EIWAD0.49</v>
      </c>
      <c r="Y211" s="22" t="s">
        <v>32</v>
      </c>
      <c r="Z211" s="78"/>
    </row>
    <row r="212" spans="1:26" s="70" customFormat="1" ht="24.95" customHeight="1">
      <c r="A212" s="80"/>
      <c r="B212" s="99">
        <v>45352</v>
      </c>
      <c r="C212" s="127" t="s">
        <v>35</v>
      </c>
      <c r="D212" s="59" t="s">
        <v>20</v>
      </c>
      <c r="E212" s="14" t="str">
        <f t="shared" si="20"/>
        <v>12B</v>
      </c>
      <c r="F212" s="111" t="s">
        <v>719</v>
      </c>
      <c r="G212" s="15" t="s">
        <v>27</v>
      </c>
      <c r="H212" s="95">
        <v>1.1499999999999999</v>
      </c>
      <c r="I212" s="22" t="s">
        <v>252</v>
      </c>
      <c r="J212" s="109" t="s">
        <v>726</v>
      </c>
      <c r="K212" s="105"/>
      <c r="L212" s="125" t="s">
        <v>720</v>
      </c>
      <c r="M212" s="96"/>
      <c r="N212" s="45" t="s">
        <v>721</v>
      </c>
      <c r="O212" s="23" t="s">
        <v>30</v>
      </c>
      <c r="P212" s="45">
        <v>3</v>
      </c>
      <c r="Q212" s="88">
        <v>1</v>
      </c>
      <c r="R212" s="66">
        <v>45367</v>
      </c>
      <c r="S212" s="54">
        <v>45372</v>
      </c>
      <c r="T212" s="45" t="s">
        <v>19</v>
      </c>
      <c r="U212" s="100">
        <v>0</v>
      </c>
      <c r="V212" s="108">
        <v>1</v>
      </c>
      <c r="W212" s="22" t="s">
        <v>40</v>
      </c>
      <c r="X212" s="88" t="str">
        <f t="shared" si="23"/>
        <v>D1-IDW-41.15</v>
      </c>
      <c r="Y212" s="22" t="s">
        <v>182</v>
      </c>
      <c r="Z212" s="78"/>
    </row>
    <row r="213" spans="1:26" s="70" customFormat="1" ht="24.95" customHeight="1">
      <c r="A213" s="80"/>
      <c r="B213" s="99">
        <v>45352</v>
      </c>
      <c r="C213" s="127" t="s">
        <v>35</v>
      </c>
      <c r="D213" s="59" t="s">
        <v>20</v>
      </c>
      <c r="E213" s="14" t="str">
        <f t="shared" si="20"/>
        <v>12B</v>
      </c>
      <c r="F213" s="111" t="s">
        <v>719</v>
      </c>
      <c r="G213" s="3" t="s">
        <v>26</v>
      </c>
      <c r="H213" s="95">
        <v>1.1499999999999999</v>
      </c>
      <c r="I213" s="22" t="s">
        <v>252</v>
      </c>
      <c r="J213" s="109" t="s">
        <v>722</v>
      </c>
      <c r="K213" s="55" t="s">
        <v>723</v>
      </c>
      <c r="L213" s="125" t="s">
        <v>724</v>
      </c>
      <c r="M213" s="96"/>
      <c r="N213" s="45" t="s">
        <v>725</v>
      </c>
      <c r="O213" s="23" t="s">
        <v>39</v>
      </c>
      <c r="P213" s="45">
        <v>3</v>
      </c>
      <c r="Q213" s="88">
        <v>1</v>
      </c>
      <c r="R213" s="66">
        <v>45365</v>
      </c>
      <c r="S213" s="54">
        <v>45372</v>
      </c>
      <c r="T213" s="45" t="s">
        <v>19</v>
      </c>
      <c r="U213" s="100">
        <v>0</v>
      </c>
      <c r="V213" s="108">
        <v>1</v>
      </c>
      <c r="W213" s="22" t="s">
        <v>40</v>
      </c>
      <c r="X213" s="88" t="str">
        <f t="shared" si="23"/>
        <v>D1-IDW-41.15</v>
      </c>
      <c r="Y213" s="22" t="s">
        <v>182</v>
      </c>
      <c r="Z213" s="78"/>
    </row>
    <row r="214" spans="1:26" s="70" customFormat="1" ht="24.95" customHeight="1">
      <c r="A214" s="80"/>
      <c r="B214" s="99">
        <v>45352</v>
      </c>
      <c r="C214" s="127" t="s">
        <v>35</v>
      </c>
      <c r="D214" s="59" t="s">
        <v>20</v>
      </c>
      <c r="E214" s="14" t="str">
        <f t="shared" si="20"/>
        <v>12B</v>
      </c>
      <c r="F214" s="111" t="s">
        <v>719</v>
      </c>
      <c r="G214" s="15" t="s">
        <v>27</v>
      </c>
      <c r="H214" s="95">
        <v>1.1499999999999999</v>
      </c>
      <c r="I214" s="22" t="s">
        <v>252</v>
      </c>
      <c r="J214" s="109" t="s">
        <v>726</v>
      </c>
      <c r="K214" s="105"/>
      <c r="L214" s="125" t="s">
        <v>720</v>
      </c>
      <c r="M214" s="96"/>
      <c r="N214" s="45" t="s">
        <v>727</v>
      </c>
      <c r="O214" s="23" t="s">
        <v>198</v>
      </c>
      <c r="P214" s="45">
        <v>3</v>
      </c>
      <c r="Q214" s="88">
        <v>2</v>
      </c>
      <c r="R214" s="66">
        <v>45368</v>
      </c>
      <c r="S214" s="54">
        <v>45372</v>
      </c>
      <c r="T214" s="45" t="s">
        <v>19</v>
      </c>
      <c r="U214" s="100">
        <v>0</v>
      </c>
      <c r="V214" s="108">
        <v>2</v>
      </c>
      <c r="W214" s="22" t="s">
        <v>40</v>
      </c>
      <c r="X214" s="88" t="str">
        <f t="shared" si="23"/>
        <v>D1-IDW-41.15</v>
      </c>
      <c r="Y214" s="22" t="s">
        <v>182</v>
      </c>
      <c r="Z214" s="78"/>
    </row>
    <row r="215" spans="1:26" s="70" customFormat="1" ht="24.95" customHeight="1">
      <c r="A215" s="80"/>
      <c r="B215" s="99">
        <v>45352</v>
      </c>
      <c r="C215" s="127" t="s">
        <v>35</v>
      </c>
      <c r="D215" s="59" t="s">
        <v>20</v>
      </c>
      <c r="E215" s="14" t="str">
        <f t="shared" si="20"/>
        <v>V4A</v>
      </c>
      <c r="F215" s="111" t="s">
        <v>48</v>
      </c>
      <c r="G215" s="15" t="s">
        <v>27</v>
      </c>
      <c r="H215" s="95">
        <v>0.5</v>
      </c>
      <c r="I215" s="22" t="s">
        <v>49</v>
      </c>
      <c r="J215" s="109" t="s">
        <v>728</v>
      </c>
      <c r="K215" s="105"/>
      <c r="L215" s="125"/>
      <c r="M215" s="96"/>
      <c r="N215" s="45" t="s">
        <v>729</v>
      </c>
      <c r="O215" s="23" t="s">
        <v>29</v>
      </c>
      <c r="P215" s="45" t="s">
        <v>54</v>
      </c>
      <c r="Q215" s="88">
        <v>10</v>
      </c>
      <c r="R215" s="66">
        <v>45370</v>
      </c>
      <c r="S215" s="54">
        <v>45372</v>
      </c>
      <c r="T215" s="45" t="s">
        <v>19</v>
      </c>
      <c r="U215" s="100">
        <v>10</v>
      </c>
      <c r="V215" s="108">
        <v>0</v>
      </c>
      <c r="W215" s="22" t="s">
        <v>40</v>
      </c>
      <c r="X215" s="88" t="str">
        <f t="shared" si="23"/>
        <v>D2-PEW-B-10.5</v>
      </c>
      <c r="Y215" s="22" t="s">
        <v>32</v>
      </c>
      <c r="Z215" s="78"/>
    </row>
    <row r="216" spans="1:26" s="70" customFormat="1" ht="24.95" customHeight="1">
      <c r="A216" s="80"/>
      <c r="B216" s="99">
        <v>45352</v>
      </c>
      <c r="C216" s="127" t="s">
        <v>35</v>
      </c>
      <c r="D216" s="59" t="s">
        <v>20</v>
      </c>
      <c r="E216" s="14" t="str">
        <f t="shared" si="20"/>
        <v>V8A</v>
      </c>
      <c r="F216" s="111" t="s">
        <v>730</v>
      </c>
      <c r="G216" s="15" t="s">
        <v>27</v>
      </c>
      <c r="H216" s="95">
        <v>1.7</v>
      </c>
      <c r="I216" s="22" t="s">
        <v>252</v>
      </c>
      <c r="J216" s="109" t="s">
        <v>731</v>
      </c>
      <c r="K216" s="105"/>
      <c r="L216" s="125"/>
      <c r="M216" s="96"/>
      <c r="N216" s="45" t="s">
        <v>732</v>
      </c>
      <c r="O216" s="23" t="s">
        <v>733</v>
      </c>
      <c r="P216" s="45">
        <v>1</v>
      </c>
      <c r="Q216" s="88">
        <v>2</v>
      </c>
      <c r="R216" s="66">
        <v>45371</v>
      </c>
      <c r="S216" s="54">
        <v>45372</v>
      </c>
      <c r="T216" s="45" t="s">
        <v>19</v>
      </c>
      <c r="U216" s="100">
        <v>0</v>
      </c>
      <c r="V216" s="108">
        <v>2</v>
      </c>
      <c r="W216" s="22" t="s">
        <v>40</v>
      </c>
      <c r="X216" s="88" t="str">
        <f t="shared" si="23"/>
        <v>D1IDW-4-B-11.7</v>
      </c>
      <c r="Y216" s="22" t="s">
        <v>182</v>
      </c>
      <c r="Z216" s="78"/>
    </row>
    <row r="217" spans="1:26" s="70" customFormat="1" ht="24.95" customHeight="1">
      <c r="A217" s="80"/>
      <c r="B217" s="99">
        <v>45352</v>
      </c>
      <c r="C217" s="131" t="s">
        <v>35</v>
      </c>
      <c r="D217" s="22" t="s">
        <v>20</v>
      </c>
      <c r="E217" s="14" t="str">
        <f>IF(B212="","",LEFT(N217,3))</f>
        <v>V8A</v>
      </c>
      <c r="F217" s="111" t="s">
        <v>730</v>
      </c>
      <c r="G217" s="15" t="s">
        <v>27</v>
      </c>
      <c r="H217" s="95">
        <v>1.7</v>
      </c>
      <c r="I217" s="22" t="s">
        <v>252</v>
      </c>
      <c r="J217" s="109" t="s">
        <v>731</v>
      </c>
      <c r="K217" s="105"/>
      <c r="L217" s="125"/>
      <c r="M217" s="96"/>
      <c r="N217" s="45" t="s">
        <v>734</v>
      </c>
      <c r="O217" s="23" t="s">
        <v>735</v>
      </c>
      <c r="P217" s="45">
        <v>1</v>
      </c>
      <c r="Q217" s="88">
        <v>3</v>
      </c>
      <c r="R217" s="66">
        <v>45371</v>
      </c>
      <c r="S217" s="54">
        <v>45372</v>
      </c>
      <c r="T217" s="45" t="s">
        <v>19</v>
      </c>
      <c r="U217" s="100">
        <v>0</v>
      </c>
      <c r="V217" s="108">
        <v>3</v>
      </c>
      <c r="W217" s="22" t="s">
        <v>40</v>
      </c>
      <c r="X217" s="88" t="str">
        <f t="shared" si="23"/>
        <v>D1IDW-4-B-11.7</v>
      </c>
      <c r="Y217" s="22" t="s">
        <v>182</v>
      </c>
      <c r="Z217" s="78"/>
    </row>
    <row r="218" spans="1:26" s="70" customFormat="1" ht="24.95" customHeight="1">
      <c r="A218" s="80"/>
      <c r="B218" s="99">
        <v>45352</v>
      </c>
      <c r="C218" s="131" t="s">
        <v>35</v>
      </c>
      <c r="D218" s="22" t="s">
        <v>20</v>
      </c>
      <c r="E218" s="14" t="str">
        <f>IF(B213="","",LEFT(N218,3))</f>
        <v>11B</v>
      </c>
      <c r="F218" s="111" t="s">
        <v>24</v>
      </c>
      <c r="G218" s="3" t="s">
        <v>26</v>
      </c>
      <c r="H218" s="95">
        <v>0.9</v>
      </c>
      <c r="I218" s="22" t="s">
        <v>28</v>
      </c>
      <c r="J218" s="109" t="s">
        <v>45</v>
      </c>
      <c r="K218" s="105"/>
      <c r="L218" s="125" t="s">
        <v>736</v>
      </c>
      <c r="M218" s="96"/>
      <c r="N218" s="45" t="s">
        <v>737</v>
      </c>
      <c r="O218" s="23" t="s">
        <v>738</v>
      </c>
      <c r="P218" s="45" t="s">
        <v>739</v>
      </c>
      <c r="Q218" s="88">
        <v>3</v>
      </c>
      <c r="R218" s="66">
        <v>45369</v>
      </c>
      <c r="S218" s="54">
        <v>45370</v>
      </c>
      <c r="T218" s="45" t="s">
        <v>19</v>
      </c>
      <c r="U218" s="100">
        <v>3</v>
      </c>
      <c r="V218" s="108">
        <v>0</v>
      </c>
      <c r="W218" s="22" t="s">
        <v>40</v>
      </c>
      <c r="X218" s="88" t="str">
        <f t="shared" si="23"/>
        <v>2PEW0.9</v>
      </c>
      <c r="Y218" s="22" t="s">
        <v>32</v>
      </c>
      <c r="Z218" s="78"/>
    </row>
    <row r="219" spans="1:26" s="70" customFormat="1" ht="24.95" customHeight="1">
      <c r="A219" s="80"/>
      <c r="B219" s="99">
        <v>45352</v>
      </c>
      <c r="C219" s="131" t="s">
        <v>35</v>
      </c>
      <c r="D219" s="22" t="s">
        <v>20</v>
      </c>
      <c r="E219" s="14" t="str">
        <f t="shared" ref="E219:E240" si="24">IF(B214="","",LEFT(N219,3))</f>
        <v>VOB</v>
      </c>
      <c r="F219" s="111" t="s">
        <v>177</v>
      </c>
      <c r="G219" s="3" t="s">
        <v>26</v>
      </c>
      <c r="H219" s="95">
        <v>0.5</v>
      </c>
      <c r="I219" s="22" t="s">
        <v>178</v>
      </c>
      <c r="J219" s="109" t="s">
        <v>740</v>
      </c>
      <c r="K219" s="105"/>
      <c r="L219" s="126" t="s">
        <v>741</v>
      </c>
      <c r="M219" s="96"/>
      <c r="N219" s="45" t="s">
        <v>742</v>
      </c>
      <c r="O219" s="23" t="s">
        <v>176</v>
      </c>
      <c r="P219" s="45" t="s">
        <v>743</v>
      </c>
      <c r="Q219" s="88">
        <v>6</v>
      </c>
      <c r="R219" s="66">
        <v>45371</v>
      </c>
      <c r="S219" s="54">
        <v>45372</v>
      </c>
      <c r="T219" s="45" t="s">
        <v>19</v>
      </c>
      <c r="U219" s="100">
        <v>6</v>
      </c>
      <c r="V219" s="108">
        <v>0</v>
      </c>
      <c r="W219" s="22" t="s">
        <v>40</v>
      </c>
      <c r="X219" s="88" t="str">
        <f t="shared" si="23"/>
        <v>D2DSW20.5</v>
      </c>
      <c r="Y219" s="22" t="s">
        <v>32</v>
      </c>
      <c r="Z219" s="78"/>
    </row>
    <row r="220" spans="1:26" s="70" customFormat="1" ht="24.95" customHeight="1">
      <c r="A220" s="80"/>
      <c r="B220" s="99">
        <v>45352</v>
      </c>
      <c r="C220" s="131" t="s">
        <v>35</v>
      </c>
      <c r="D220" s="22" t="s">
        <v>20</v>
      </c>
      <c r="E220" s="14" t="str">
        <f t="shared" si="24"/>
        <v>VOB</v>
      </c>
      <c r="F220" s="111" t="s">
        <v>177</v>
      </c>
      <c r="G220" s="15" t="s">
        <v>27</v>
      </c>
      <c r="H220" s="95">
        <v>0.5</v>
      </c>
      <c r="I220" s="22" t="s">
        <v>178</v>
      </c>
      <c r="J220" s="109" t="s">
        <v>260</v>
      </c>
      <c r="K220" s="55" t="s">
        <v>744</v>
      </c>
      <c r="L220" s="125" t="s">
        <v>745</v>
      </c>
      <c r="M220" s="96"/>
      <c r="N220" s="45" t="s">
        <v>742</v>
      </c>
      <c r="O220" s="23" t="s">
        <v>39</v>
      </c>
      <c r="P220" s="45" t="s">
        <v>746</v>
      </c>
      <c r="Q220" s="88">
        <v>4</v>
      </c>
      <c r="R220" s="66">
        <v>45372</v>
      </c>
      <c r="S220" s="54">
        <v>45373</v>
      </c>
      <c r="T220" s="45" t="s">
        <v>19</v>
      </c>
      <c r="U220" s="100">
        <v>4</v>
      </c>
      <c r="V220" s="108">
        <v>0</v>
      </c>
      <c r="W220" s="22" t="s">
        <v>40</v>
      </c>
      <c r="X220" s="88" t="str">
        <f t="shared" si="23"/>
        <v>D2DSW20.5</v>
      </c>
      <c r="Y220" s="22" t="s">
        <v>32</v>
      </c>
      <c r="Z220" s="78"/>
    </row>
    <row r="221" spans="1:26" s="70" customFormat="1" ht="24.95" customHeight="1">
      <c r="A221" s="80"/>
      <c r="B221" s="99">
        <v>45352</v>
      </c>
      <c r="C221" s="131" t="s">
        <v>35</v>
      </c>
      <c r="D221" s="22" t="s">
        <v>20</v>
      </c>
      <c r="E221" s="14" t="str">
        <f t="shared" si="24"/>
        <v>V9A</v>
      </c>
      <c r="F221" s="111" t="s">
        <v>42</v>
      </c>
      <c r="G221" s="15" t="s">
        <v>27</v>
      </c>
      <c r="H221" s="95">
        <v>0.85</v>
      </c>
      <c r="I221" s="22" t="s">
        <v>31</v>
      </c>
      <c r="J221" s="109" t="s">
        <v>747</v>
      </c>
      <c r="K221" s="105"/>
      <c r="L221" s="125" t="s">
        <v>748</v>
      </c>
      <c r="M221" s="96"/>
      <c r="N221" s="45" t="s">
        <v>749</v>
      </c>
      <c r="O221" s="23" t="s">
        <v>39</v>
      </c>
      <c r="P221" s="45" t="s">
        <v>367</v>
      </c>
      <c r="Q221" s="88">
        <v>9</v>
      </c>
      <c r="R221" s="66">
        <v>45372</v>
      </c>
      <c r="S221" s="54">
        <v>45373</v>
      </c>
      <c r="T221" s="45" t="s">
        <v>19</v>
      </c>
      <c r="U221" s="100">
        <v>9</v>
      </c>
      <c r="V221" s="108">
        <v>0</v>
      </c>
      <c r="W221" s="22" t="s">
        <v>40</v>
      </c>
      <c r="X221" s="88" t="str">
        <f t="shared" si="23"/>
        <v>D1-PEW-B-2Y0.85</v>
      </c>
      <c r="Y221" s="22" t="s">
        <v>32</v>
      </c>
      <c r="Z221" s="78"/>
    </row>
    <row r="222" spans="1:26" s="70" customFormat="1" ht="24.95" customHeight="1">
      <c r="A222" s="80"/>
      <c r="B222" s="99">
        <v>45352</v>
      </c>
      <c r="C222" s="131" t="s">
        <v>35</v>
      </c>
      <c r="D222" s="22" t="s">
        <v>20</v>
      </c>
      <c r="E222" s="14" t="str">
        <f t="shared" si="24"/>
        <v>V6B</v>
      </c>
      <c r="F222" s="111" t="s">
        <v>165</v>
      </c>
      <c r="G222" s="15" t="s">
        <v>27</v>
      </c>
      <c r="H222" s="95">
        <v>1.65</v>
      </c>
      <c r="I222" s="22" t="s">
        <v>321</v>
      </c>
      <c r="J222" s="109" t="s">
        <v>682</v>
      </c>
      <c r="K222" s="55" t="s">
        <v>683</v>
      </c>
      <c r="L222" s="125" t="s">
        <v>684</v>
      </c>
      <c r="M222" s="96"/>
      <c r="N222" s="45" t="s">
        <v>685</v>
      </c>
      <c r="O222" s="23" t="s">
        <v>30</v>
      </c>
      <c r="P222" s="45">
        <v>3.6</v>
      </c>
      <c r="Q222" s="88">
        <v>2</v>
      </c>
      <c r="R222" s="66">
        <v>45363</v>
      </c>
      <c r="S222" s="54">
        <v>45364</v>
      </c>
      <c r="T222" s="45" t="s">
        <v>19</v>
      </c>
      <c r="U222" s="100">
        <v>2</v>
      </c>
      <c r="V222" s="108">
        <v>0</v>
      </c>
      <c r="W222" s="22" t="s">
        <v>40</v>
      </c>
      <c r="X222" s="88" t="str">
        <f t="shared" si="23"/>
        <v>2EIWAD-O1.65</v>
      </c>
      <c r="Y222" s="22" t="s">
        <v>32</v>
      </c>
      <c r="Z222" s="78"/>
    </row>
    <row r="223" spans="1:26" s="70" customFormat="1" ht="24.95" customHeight="1">
      <c r="A223" s="80"/>
      <c r="B223" s="99">
        <v>45352</v>
      </c>
      <c r="C223" s="131" t="s">
        <v>35</v>
      </c>
      <c r="D223" s="22" t="s">
        <v>20</v>
      </c>
      <c r="E223" s="14" t="str">
        <f t="shared" si="24"/>
        <v>V9A</v>
      </c>
      <c r="F223" s="111" t="s">
        <v>151</v>
      </c>
      <c r="G223" s="3" t="s">
        <v>26</v>
      </c>
      <c r="H223" s="95">
        <v>0.85</v>
      </c>
      <c r="I223" s="22" t="s">
        <v>31</v>
      </c>
      <c r="J223" s="109" t="s">
        <v>444</v>
      </c>
      <c r="K223" s="105"/>
      <c r="L223" s="125" t="s">
        <v>46</v>
      </c>
      <c r="M223" s="96"/>
      <c r="N223" s="45" t="s">
        <v>749</v>
      </c>
      <c r="O223" s="23" t="s">
        <v>29</v>
      </c>
      <c r="P223" s="45">
        <v>1</v>
      </c>
      <c r="Q223" s="88">
        <v>1</v>
      </c>
      <c r="R223" s="66">
        <v>45372</v>
      </c>
      <c r="S223" s="54">
        <v>45374</v>
      </c>
      <c r="T223" s="45" t="s">
        <v>19</v>
      </c>
      <c r="U223" s="100">
        <v>1</v>
      </c>
      <c r="V223" s="108">
        <v>0</v>
      </c>
      <c r="W223" s="22" t="s">
        <v>40</v>
      </c>
      <c r="X223" s="88" t="str">
        <f t="shared" si="23"/>
        <v>D1PEW-B-2Y0.85</v>
      </c>
      <c r="Y223" s="22" t="s">
        <v>32</v>
      </c>
      <c r="Z223" s="78"/>
    </row>
    <row r="224" spans="1:26" s="70" customFormat="1" ht="24.95" customHeight="1">
      <c r="A224" s="80"/>
      <c r="B224" s="99">
        <v>45352</v>
      </c>
      <c r="C224" s="131" t="s">
        <v>35</v>
      </c>
      <c r="D224" s="22" t="s">
        <v>20</v>
      </c>
      <c r="E224" s="14" t="str">
        <f t="shared" si="24"/>
        <v>VOB</v>
      </c>
      <c r="F224" s="111" t="s">
        <v>177</v>
      </c>
      <c r="G224" s="3" t="s">
        <v>26</v>
      </c>
      <c r="H224" s="95">
        <v>0.5</v>
      </c>
      <c r="I224" s="22" t="s">
        <v>178</v>
      </c>
      <c r="J224" s="109" t="s">
        <v>750</v>
      </c>
      <c r="K224" s="105"/>
      <c r="L224" s="125"/>
      <c r="M224" s="96"/>
      <c r="N224" s="45" t="s">
        <v>742</v>
      </c>
      <c r="O224" s="23" t="s">
        <v>29</v>
      </c>
      <c r="P224" s="45">
        <v>2.2999999999999998</v>
      </c>
      <c r="Q224" s="88">
        <v>2</v>
      </c>
      <c r="R224" s="66">
        <v>45373</v>
      </c>
      <c r="S224" s="54">
        <v>45373</v>
      </c>
      <c r="T224" s="45" t="s">
        <v>19</v>
      </c>
      <c r="U224" s="100">
        <v>2</v>
      </c>
      <c r="V224" s="108">
        <v>0</v>
      </c>
      <c r="W224" s="22" t="s">
        <v>40</v>
      </c>
      <c r="X224" s="88" t="str">
        <f t="shared" si="23"/>
        <v>D2DSW20.5</v>
      </c>
      <c r="Y224" s="22" t="s">
        <v>32</v>
      </c>
      <c r="Z224" s="78"/>
    </row>
    <row r="225" spans="1:26" s="70" customFormat="1" ht="24.95" customHeight="1">
      <c r="A225" s="80"/>
      <c r="B225" s="99">
        <v>45352</v>
      </c>
      <c r="C225" s="131" t="s">
        <v>35</v>
      </c>
      <c r="D225" s="22" t="s">
        <v>20</v>
      </c>
      <c r="E225" s="14" t="str">
        <f t="shared" si="24"/>
        <v>12B</v>
      </c>
      <c r="F225" s="111" t="s">
        <v>719</v>
      </c>
      <c r="G225" s="3" t="s">
        <v>26</v>
      </c>
      <c r="H225" s="95">
        <v>1.1499999999999999</v>
      </c>
      <c r="I225" s="22" t="s">
        <v>252</v>
      </c>
      <c r="J225" s="109" t="s">
        <v>772</v>
      </c>
      <c r="K225" s="55" t="s">
        <v>773</v>
      </c>
      <c r="L225" s="125" t="s">
        <v>774</v>
      </c>
      <c r="M225" s="96"/>
      <c r="N225" s="45" t="s">
        <v>775</v>
      </c>
      <c r="O225" s="23" t="s">
        <v>263</v>
      </c>
      <c r="P225" s="45">
        <v>3</v>
      </c>
      <c r="Q225" s="88">
        <v>1</v>
      </c>
      <c r="R225" s="66">
        <v>45374</v>
      </c>
      <c r="S225" s="54">
        <v>45377</v>
      </c>
      <c r="T225" s="45" t="s">
        <v>19</v>
      </c>
      <c r="U225" s="100">
        <v>0</v>
      </c>
      <c r="V225" s="108">
        <v>1</v>
      </c>
      <c r="W225" s="22" t="s">
        <v>40</v>
      </c>
      <c r="X225" s="88" t="str">
        <f t="shared" si="23"/>
        <v>D1-IDW-41.15</v>
      </c>
      <c r="Y225" s="22" t="s">
        <v>182</v>
      </c>
      <c r="Z225" s="78"/>
    </row>
    <row r="226" spans="1:26" s="70" customFormat="1" ht="24.95" customHeight="1">
      <c r="A226" s="80"/>
      <c r="B226" s="99">
        <v>45352</v>
      </c>
      <c r="C226" s="131" t="s">
        <v>35</v>
      </c>
      <c r="D226" s="22" t="s">
        <v>20</v>
      </c>
      <c r="E226" s="14" t="str">
        <f t="shared" si="24"/>
        <v>VOB</v>
      </c>
      <c r="F226" s="111" t="s">
        <v>177</v>
      </c>
      <c r="G226" s="3" t="s">
        <v>26</v>
      </c>
      <c r="H226" s="95">
        <v>0.5</v>
      </c>
      <c r="I226" s="22" t="s">
        <v>178</v>
      </c>
      <c r="J226" s="109" t="s">
        <v>784</v>
      </c>
      <c r="K226" s="55"/>
      <c r="L226" s="125" t="s">
        <v>208</v>
      </c>
      <c r="M226" s="96"/>
      <c r="N226" s="45" t="s">
        <v>785</v>
      </c>
      <c r="O226" s="23" t="s">
        <v>39</v>
      </c>
      <c r="P226" s="45">
        <v>3</v>
      </c>
      <c r="Q226" s="88">
        <v>1</v>
      </c>
      <c r="R226" s="66">
        <v>45376</v>
      </c>
      <c r="S226" s="54">
        <v>45378</v>
      </c>
      <c r="T226" s="45" t="s">
        <v>19</v>
      </c>
      <c r="U226" s="100">
        <v>1</v>
      </c>
      <c r="V226" s="108">
        <v>0</v>
      </c>
      <c r="W226" s="22" t="s">
        <v>40</v>
      </c>
      <c r="X226" s="88" t="str">
        <f t="shared" si="23"/>
        <v>D2DSW20.5</v>
      </c>
      <c r="Y226" s="22" t="s">
        <v>32</v>
      </c>
      <c r="Z226" s="78"/>
    </row>
    <row r="227" spans="1:26" s="70" customFormat="1" ht="24.95" customHeight="1">
      <c r="A227" s="80"/>
      <c r="B227" s="99">
        <v>45352</v>
      </c>
      <c r="C227" s="131" t="s">
        <v>35</v>
      </c>
      <c r="D227" s="22" t="s">
        <v>20</v>
      </c>
      <c r="E227" s="14" t="str">
        <f t="shared" si="24"/>
        <v>11A</v>
      </c>
      <c r="F227" s="111" t="s">
        <v>24</v>
      </c>
      <c r="G227" s="15" t="s">
        <v>27</v>
      </c>
      <c r="H227" s="95">
        <v>0.87</v>
      </c>
      <c r="I227" s="22" t="s">
        <v>28</v>
      </c>
      <c r="J227" s="109" t="s">
        <v>786</v>
      </c>
      <c r="K227" s="55" t="s">
        <v>787</v>
      </c>
      <c r="L227" s="125" t="s">
        <v>788</v>
      </c>
      <c r="M227" s="96"/>
      <c r="N227" s="45" t="s">
        <v>789</v>
      </c>
      <c r="O227" s="23" t="s">
        <v>176</v>
      </c>
      <c r="P227" s="45">
        <v>4</v>
      </c>
      <c r="Q227" s="88">
        <v>2</v>
      </c>
      <c r="R227" s="66">
        <v>45376</v>
      </c>
      <c r="S227" s="54">
        <v>45378</v>
      </c>
      <c r="T227" s="45" t="s">
        <v>19</v>
      </c>
      <c r="U227" s="100">
        <v>2</v>
      </c>
      <c r="V227" s="108">
        <v>0</v>
      </c>
      <c r="W227" s="22" t="s">
        <v>40</v>
      </c>
      <c r="X227" s="88" t="str">
        <f t="shared" si="23"/>
        <v>2PEW0.87</v>
      </c>
      <c r="Y227" s="22" t="s">
        <v>32</v>
      </c>
      <c r="Z227" s="78"/>
    </row>
    <row r="228" spans="1:26" s="70" customFormat="1" ht="24.95" customHeight="1">
      <c r="A228" s="80"/>
      <c r="B228" s="99">
        <v>45352</v>
      </c>
      <c r="C228" s="131" t="s">
        <v>35</v>
      </c>
      <c r="D228" s="22" t="s">
        <v>20</v>
      </c>
      <c r="E228" s="14" t="str">
        <f t="shared" si="24"/>
        <v>V9A</v>
      </c>
      <c r="F228" s="111" t="s">
        <v>267</v>
      </c>
      <c r="G228" s="15" t="s">
        <v>27</v>
      </c>
      <c r="H228" s="95">
        <v>1.25</v>
      </c>
      <c r="I228" s="22" t="s">
        <v>268</v>
      </c>
      <c r="J228" s="109" t="s">
        <v>790</v>
      </c>
      <c r="K228" s="109" t="s">
        <v>790</v>
      </c>
      <c r="L228" s="125" t="s">
        <v>791</v>
      </c>
      <c r="M228" s="96"/>
      <c r="N228" s="45" t="s">
        <v>792</v>
      </c>
      <c r="O228" s="23" t="s">
        <v>29</v>
      </c>
      <c r="P228" s="45" t="s">
        <v>793</v>
      </c>
      <c r="Q228" s="88">
        <v>5</v>
      </c>
      <c r="R228" s="66">
        <v>45377</v>
      </c>
      <c r="S228" s="54">
        <v>45378</v>
      </c>
      <c r="T228" s="45" t="s">
        <v>19</v>
      </c>
      <c r="U228" s="100">
        <v>5</v>
      </c>
      <c r="V228" s="108">
        <v>0</v>
      </c>
      <c r="W228" s="22" t="s">
        <v>40</v>
      </c>
      <c r="X228" s="88" t="str">
        <f t="shared" si="23"/>
        <v>1-ATZ-3001.25</v>
      </c>
      <c r="Y228" s="22" t="s">
        <v>32</v>
      </c>
      <c r="Z228" s="78"/>
    </row>
    <row r="229" spans="1:26" s="70" customFormat="1" ht="24.95" customHeight="1">
      <c r="A229" s="80"/>
      <c r="B229" s="99">
        <v>45352</v>
      </c>
      <c r="C229" s="131" t="s">
        <v>35</v>
      </c>
      <c r="D229" s="22" t="s">
        <v>20</v>
      </c>
      <c r="E229" s="14" t="str">
        <f t="shared" si="24"/>
        <v>V9A</v>
      </c>
      <c r="F229" s="111" t="s">
        <v>151</v>
      </c>
      <c r="G229" s="3" t="s">
        <v>26</v>
      </c>
      <c r="H229" s="95">
        <v>0.9</v>
      </c>
      <c r="I229" s="22" t="s">
        <v>31</v>
      </c>
      <c r="J229" s="109" t="s">
        <v>360</v>
      </c>
      <c r="K229" s="55"/>
      <c r="L229" s="125"/>
      <c r="M229" s="96"/>
      <c r="N229" s="45" t="s">
        <v>794</v>
      </c>
      <c r="O229" s="23" t="s">
        <v>39</v>
      </c>
      <c r="P229" s="45">
        <v>8</v>
      </c>
      <c r="Q229" s="88">
        <v>1</v>
      </c>
      <c r="R229" s="66">
        <v>45376</v>
      </c>
      <c r="S229" s="54">
        <v>45378</v>
      </c>
      <c r="T229" s="45" t="s">
        <v>19</v>
      </c>
      <c r="U229" s="100">
        <v>1</v>
      </c>
      <c r="V229" s="108">
        <v>0</v>
      </c>
      <c r="W229" s="22" t="s">
        <v>40</v>
      </c>
      <c r="X229" s="88" t="str">
        <f t="shared" si="23"/>
        <v>D1PEW-B-2Y0.9</v>
      </c>
      <c r="Y229" s="22" t="s">
        <v>32</v>
      </c>
      <c r="Z229" s="78"/>
    </row>
    <row r="230" spans="1:26" s="70" customFormat="1" ht="24.95" customHeight="1">
      <c r="A230" s="80"/>
      <c r="B230" s="99">
        <v>45352</v>
      </c>
      <c r="C230" s="131" t="s">
        <v>35</v>
      </c>
      <c r="D230" s="22" t="s">
        <v>20</v>
      </c>
      <c r="E230" s="14" t="str">
        <f t="shared" si="24"/>
        <v>V6B</v>
      </c>
      <c r="F230" s="111" t="s">
        <v>165</v>
      </c>
      <c r="G230" s="15" t="s">
        <v>27</v>
      </c>
      <c r="H230" s="95">
        <v>1.65</v>
      </c>
      <c r="I230" s="22" t="s">
        <v>321</v>
      </c>
      <c r="J230" s="109" t="s">
        <v>323</v>
      </c>
      <c r="K230" s="55" t="s">
        <v>337</v>
      </c>
      <c r="L230" s="125" t="s">
        <v>795</v>
      </c>
      <c r="M230" s="96"/>
      <c r="N230" s="45" t="s">
        <v>796</v>
      </c>
      <c r="O230" s="23" t="s">
        <v>263</v>
      </c>
      <c r="P230" s="128">
        <v>3.6</v>
      </c>
      <c r="Q230" s="88">
        <v>2</v>
      </c>
      <c r="R230" s="66">
        <v>45373</v>
      </c>
      <c r="S230" s="54">
        <v>45378</v>
      </c>
      <c r="T230" s="45" t="s">
        <v>19</v>
      </c>
      <c r="U230" s="100">
        <v>2</v>
      </c>
      <c r="V230" s="108">
        <v>0</v>
      </c>
      <c r="W230" s="22" t="s">
        <v>40</v>
      </c>
      <c r="X230" s="88" t="str">
        <f t="shared" si="23"/>
        <v>2EIWAD-O1.65</v>
      </c>
      <c r="Y230" s="22" t="s">
        <v>32</v>
      </c>
      <c r="Z230" s="78"/>
    </row>
    <row r="231" spans="1:26" s="70" customFormat="1" ht="24.95" customHeight="1">
      <c r="A231" s="80"/>
      <c r="B231" s="99">
        <v>45352</v>
      </c>
      <c r="C231" s="131" t="s">
        <v>35</v>
      </c>
      <c r="D231" s="22" t="s">
        <v>20</v>
      </c>
      <c r="E231" s="14" t="str">
        <f t="shared" si="24"/>
        <v>11A</v>
      </c>
      <c r="F231" s="111" t="s">
        <v>42</v>
      </c>
      <c r="G231" s="15" t="s">
        <v>27</v>
      </c>
      <c r="H231" s="95">
        <v>0.8</v>
      </c>
      <c r="I231" s="22" t="s">
        <v>43</v>
      </c>
      <c r="J231" s="109" t="s">
        <v>47</v>
      </c>
      <c r="K231" s="55"/>
      <c r="L231" s="125"/>
      <c r="M231" s="96"/>
      <c r="N231" s="45" t="s">
        <v>800</v>
      </c>
      <c r="O231" s="23" t="s">
        <v>464</v>
      </c>
      <c r="P231" s="128" t="s">
        <v>38</v>
      </c>
      <c r="Q231" s="88">
        <v>10</v>
      </c>
      <c r="R231" s="66">
        <v>45381</v>
      </c>
      <c r="S231" s="54">
        <v>45383</v>
      </c>
      <c r="T231" s="45" t="s">
        <v>19</v>
      </c>
      <c r="U231" s="100">
        <v>10</v>
      </c>
      <c r="V231" s="108">
        <v>0</v>
      </c>
      <c r="W231" s="22" t="s">
        <v>40</v>
      </c>
      <c r="X231" s="88" t="str">
        <f t="shared" si="23"/>
        <v>D1-PEW-B-2Y0.8</v>
      </c>
      <c r="Y231" s="22" t="s">
        <v>32</v>
      </c>
      <c r="Z231" s="78"/>
    </row>
    <row r="232" spans="1:26" s="70" customFormat="1" ht="24.95" customHeight="1">
      <c r="A232" s="80"/>
      <c r="B232" s="99">
        <v>45352</v>
      </c>
      <c r="C232" s="131" t="s">
        <v>35</v>
      </c>
      <c r="D232" s="22" t="s">
        <v>20</v>
      </c>
      <c r="E232" s="14" t="str">
        <f t="shared" si="24"/>
        <v>11A</v>
      </c>
      <c r="F232" s="111" t="s">
        <v>42</v>
      </c>
      <c r="G232" s="15" t="s">
        <v>27</v>
      </c>
      <c r="H232" s="95">
        <v>0.8</v>
      </c>
      <c r="I232" s="22" t="s">
        <v>43</v>
      </c>
      <c r="J232" s="109" t="s">
        <v>47</v>
      </c>
      <c r="K232" s="55"/>
      <c r="L232" s="125"/>
      <c r="M232" s="96"/>
      <c r="N232" s="45" t="s">
        <v>801</v>
      </c>
      <c r="O232" s="23" t="s">
        <v>30</v>
      </c>
      <c r="P232" s="128" t="s">
        <v>802</v>
      </c>
      <c r="Q232" s="88">
        <v>4</v>
      </c>
      <c r="R232" s="66">
        <v>45380</v>
      </c>
      <c r="S232" s="54">
        <v>45383</v>
      </c>
      <c r="T232" s="45" t="s">
        <v>19</v>
      </c>
      <c r="U232" s="100">
        <v>4</v>
      </c>
      <c r="V232" s="108">
        <v>0</v>
      </c>
      <c r="W232" s="22" t="s">
        <v>40</v>
      </c>
      <c r="X232" s="88" t="str">
        <f t="shared" si="23"/>
        <v>D1-PEW-B-2Y0.8</v>
      </c>
      <c r="Y232" s="22" t="s">
        <v>32</v>
      </c>
      <c r="Z232" s="78"/>
    </row>
    <row r="233" spans="1:26" s="70" customFormat="1" ht="24.95" customHeight="1">
      <c r="A233" s="80"/>
      <c r="B233" s="99">
        <v>45352</v>
      </c>
      <c r="C233" s="131" t="s">
        <v>35</v>
      </c>
      <c r="D233" s="22" t="s">
        <v>20</v>
      </c>
      <c r="E233" s="14" t="str">
        <f t="shared" si="24"/>
        <v>V9A</v>
      </c>
      <c r="F233" s="111" t="s">
        <v>151</v>
      </c>
      <c r="G233" s="15" t="s">
        <v>27</v>
      </c>
      <c r="H233" s="95">
        <v>0.9</v>
      </c>
      <c r="I233" s="22" t="s">
        <v>31</v>
      </c>
      <c r="J233" s="109" t="s">
        <v>803</v>
      </c>
      <c r="K233" s="109" t="s">
        <v>804</v>
      </c>
      <c r="L233" s="125" t="s">
        <v>788</v>
      </c>
      <c r="M233" s="96"/>
      <c r="N233" s="45" t="s">
        <v>805</v>
      </c>
      <c r="O233" s="23" t="s">
        <v>30</v>
      </c>
      <c r="P233" s="128" t="s">
        <v>367</v>
      </c>
      <c r="Q233" s="88">
        <v>9</v>
      </c>
      <c r="R233" s="66">
        <v>45376</v>
      </c>
      <c r="S233" s="54">
        <v>45379</v>
      </c>
      <c r="T233" s="45" t="s">
        <v>19</v>
      </c>
      <c r="U233" s="100">
        <v>9</v>
      </c>
      <c r="V233" s="108">
        <v>0</v>
      </c>
      <c r="W233" s="22" t="s">
        <v>40</v>
      </c>
      <c r="X233" s="88" t="str">
        <f t="shared" si="23"/>
        <v>D1PEW-B-2Y0.9</v>
      </c>
      <c r="Y233" s="22" t="s">
        <v>32</v>
      </c>
      <c r="Z233" s="78"/>
    </row>
    <row r="234" spans="1:26" s="70" customFormat="1" ht="24.95" customHeight="1">
      <c r="A234" s="80"/>
      <c r="B234" s="99">
        <v>45352</v>
      </c>
      <c r="C234" s="131" t="s">
        <v>35</v>
      </c>
      <c r="D234" s="22" t="s">
        <v>20</v>
      </c>
      <c r="E234" s="14" t="str">
        <f t="shared" si="24"/>
        <v>12A</v>
      </c>
      <c r="F234" s="111" t="s">
        <v>165</v>
      </c>
      <c r="G234" s="15" t="s">
        <v>27</v>
      </c>
      <c r="H234" s="95">
        <v>1.81</v>
      </c>
      <c r="I234" s="22" t="s">
        <v>28</v>
      </c>
      <c r="J234" s="125" t="s">
        <v>806</v>
      </c>
      <c r="K234" s="109" t="s">
        <v>807</v>
      </c>
      <c r="L234" s="125" t="s">
        <v>788</v>
      </c>
      <c r="M234" s="96"/>
      <c r="N234" s="45" t="s">
        <v>808</v>
      </c>
      <c r="O234" s="23" t="s">
        <v>29</v>
      </c>
      <c r="P234" s="128" t="s">
        <v>662</v>
      </c>
      <c r="Q234" s="88">
        <v>5</v>
      </c>
      <c r="R234" s="66">
        <v>45377</v>
      </c>
      <c r="S234" s="54">
        <v>45379</v>
      </c>
      <c r="T234" s="45" t="s">
        <v>19</v>
      </c>
      <c r="U234" s="100">
        <v>5</v>
      </c>
      <c r="V234" s="108">
        <v>0</v>
      </c>
      <c r="W234" s="22" t="s">
        <v>40</v>
      </c>
      <c r="X234" s="88" t="str">
        <f t="shared" si="23"/>
        <v>2EIWAD-O1.81</v>
      </c>
      <c r="Y234" s="22" t="s">
        <v>32</v>
      </c>
      <c r="Z234" s="78"/>
    </row>
    <row r="235" spans="1:26" s="70" customFormat="1" ht="24.95" customHeight="1">
      <c r="A235" s="80"/>
      <c r="B235" s="99">
        <v>45352</v>
      </c>
      <c r="C235" s="131" t="s">
        <v>35</v>
      </c>
      <c r="D235" s="22" t="s">
        <v>20</v>
      </c>
      <c r="E235" s="14" t="str">
        <f t="shared" si="24"/>
        <v>11A</v>
      </c>
      <c r="F235" s="111" t="s">
        <v>24</v>
      </c>
      <c r="G235" s="15" t="s">
        <v>27</v>
      </c>
      <c r="H235" s="95">
        <v>0.8</v>
      </c>
      <c r="I235" s="22" t="s">
        <v>28</v>
      </c>
      <c r="J235" s="125" t="s">
        <v>562</v>
      </c>
      <c r="K235" s="109"/>
      <c r="L235" s="125" t="s">
        <v>809</v>
      </c>
      <c r="M235" s="96"/>
      <c r="N235" s="45" t="s">
        <v>810</v>
      </c>
      <c r="O235" s="23" t="s">
        <v>811</v>
      </c>
      <c r="P235" s="23" t="s">
        <v>812</v>
      </c>
      <c r="Q235" s="88">
        <v>3</v>
      </c>
      <c r="R235" s="66">
        <v>45383</v>
      </c>
      <c r="S235" s="54">
        <v>45384</v>
      </c>
      <c r="T235" s="45" t="s">
        <v>19</v>
      </c>
      <c r="U235" s="100">
        <v>3</v>
      </c>
      <c r="V235" s="108">
        <v>0</v>
      </c>
      <c r="W235" s="22" t="s">
        <v>40</v>
      </c>
      <c r="X235" s="88" t="str">
        <f t="shared" si="23"/>
        <v>2PEW0.8</v>
      </c>
      <c r="Y235" s="22" t="s">
        <v>32</v>
      </c>
      <c r="Z235" s="78"/>
    </row>
    <row r="236" spans="1:26" s="70" customFormat="1" ht="24.95" customHeight="1">
      <c r="A236" s="80"/>
      <c r="B236" s="99">
        <v>45352</v>
      </c>
      <c r="C236" s="131" t="s">
        <v>35</v>
      </c>
      <c r="D236" s="22" t="s">
        <v>20</v>
      </c>
      <c r="E236" s="14" t="str">
        <f t="shared" si="24"/>
        <v>11B</v>
      </c>
      <c r="F236" s="111" t="s">
        <v>151</v>
      </c>
      <c r="G236" s="15" t="s">
        <v>27</v>
      </c>
      <c r="H236" s="95">
        <v>0.9</v>
      </c>
      <c r="I236" s="22" t="s">
        <v>31</v>
      </c>
      <c r="J236" s="125" t="s">
        <v>47</v>
      </c>
      <c r="K236" s="109"/>
      <c r="L236" s="125" t="s">
        <v>813</v>
      </c>
      <c r="M236" s="96"/>
      <c r="N236" s="45" t="s">
        <v>814</v>
      </c>
      <c r="O236" s="23" t="s">
        <v>263</v>
      </c>
      <c r="P236" s="23" t="s">
        <v>812</v>
      </c>
      <c r="Q236" s="88">
        <v>1</v>
      </c>
      <c r="R236" s="66">
        <v>45380</v>
      </c>
      <c r="S236" s="54">
        <v>45384</v>
      </c>
      <c r="T236" s="45" t="s">
        <v>19</v>
      </c>
      <c r="U236" s="100">
        <v>1</v>
      </c>
      <c r="V236" s="108">
        <v>0</v>
      </c>
      <c r="W236" s="22" t="s">
        <v>40</v>
      </c>
      <c r="X236" s="88" t="str">
        <f t="shared" si="23"/>
        <v>D1PEW-B-2Y0.9</v>
      </c>
      <c r="Y236" s="22" t="s">
        <v>32</v>
      </c>
      <c r="Z236" s="78"/>
    </row>
    <row r="237" spans="1:26" s="70" customFormat="1" ht="24.95" customHeight="1">
      <c r="A237" s="80"/>
      <c r="B237" s="99">
        <v>45352</v>
      </c>
      <c r="C237" s="131" t="s">
        <v>35</v>
      </c>
      <c r="D237" s="22" t="s">
        <v>20</v>
      </c>
      <c r="E237" s="14" t="str">
        <f t="shared" si="24"/>
        <v>V6B</v>
      </c>
      <c r="F237" s="111" t="s">
        <v>186</v>
      </c>
      <c r="G237" s="3" t="s">
        <v>26</v>
      </c>
      <c r="H237" s="95">
        <v>1.18</v>
      </c>
      <c r="I237" s="22" t="s">
        <v>187</v>
      </c>
      <c r="J237" s="125" t="s">
        <v>815</v>
      </c>
      <c r="K237" s="109"/>
      <c r="L237" s="125" t="s">
        <v>816</v>
      </c>
      <c r="M237" s="96"/>
      <c r="N237" s="45" t="s">
        <v>817</v>
      </c>
      <c r="O237" s="23" t="s">
        <v>30</v>
      </c>
      <c r="P237" s="23" t="s">
        <v>812</v>
      </c>
      <c r="Q237" s="88">
        <v>1</v>
      </c>
      <c r="R237" s="66">
        <v>1</v>
      </c>
      <c r="S237" s="54">
        <v>45384</v>
      </c>
      <c r="T237" s="128">
        <v>45384</v>
      </c>
      <c r="U237" s="134">
        <v>1</v>
      </c>
      <c r="V237" s="108">
        <v>0</v>
      </c>
      <c r="W237" s="22" t="s">
        <v>40</v>
      </c>
      <c r="X237" s="88" t="str">
        <f t="shared" si="23"/>
        <v>1HGZ-MA1.18</v>
      </c>
      <c r="Y237" s="22" t="s">
        <v>32</v>
      </c>
      <c r="Z237" s="78"/>
    </row>
    <row r="238" spans="1:26" s="70" customFormat="1" ht="24.95" customHeight="1">
      <c r="A238" s="80"/>
      <c r="B238" s="99">
        <v>45352</v>
      </c>
      <c r="C238" s="131" t="s">
        <v>35</v>
      </c>
      <c r="D238" s="22" t="s">
        <v>20</v>
      </c>
      <c r="E238" s="14" t="str">
        <f t="shared" si="24"/>
        <v>V6B</v>
      </c>
      <c r="F238" s="111" t="s">
        <v>186</v>
      </c>
      <c r="G238" s="3" t="s">
        <v>26</v>
      </c>
      <c r="H238" s="95">
        <v>1.18</v>
      </c>
      <c r="I238" s="22" t="s">
        <v>187</v>
      </c>
      <c r="J238" s="125" t="s">
        <v>818</v>
      </c>
      <c r="K238" s="125" t="s">
        <v>818</v>
      </c>
      <c r="L238" s="125" t="s">
        <v>819</v>
      </c>
      <c r="M238" s="96"/>
      <c r="N238" s="45" t="s">
        <v>817</v>
      </c>
      <c r="O238" s="23" t="s">
        <v>29</v>
      </c>
      <c r="P238" s="23" t="s">
        <v>812</v>
      </c>
      <c r="Q238" s="88">
        <v>1</v>
      </c>
      <c r="R238" s="66">
        <v>45381</v>
      </c>
      <c r="S238" s="54">
        <v>45384</v>
      </c>
      <c r="T238" s="45" t="s">
        <v>19</v>
      </c>
      <c r="U238" s="100">
        <v>1</v>
      </c>
      <c r="V238" s="108">
        <v>0</v>
      </c>
      <c r="W238" s="22" t="s">
        <v>40</v>
      </c>
      <c r="X238" s="88" t="str">
        <f t="shared" si="23"/>
        <v>1HGZ-MA1.18</v>
      </c>
      <c r="Y238" s="22" t="s">
        <v>32</v>
      </c>
      <c r="Z238" s="78"/>
    </row>
    <row r="239" spans="1:26" s="70" customFormat="1" ht="24.95" customHeight="1">
      <c r="A239" s="80"/>
      <c r="B239" s="99">
        <v>45352</v>
      </c>
      <c r="C239" s="131" t="s">
        <v>35</v>
      </c>
      <c r="D239" s="22" t="s">
        <v>20</v>
      </c>
      <c r="E239" s="14" t="str">
        <f t="shared" si="24"/>
        <v>11A</v>
      </c>
      <c r="F239" s="111" t="s">
        <v>42</v>
      </c>
      <c r="G239" s="15" t="s">
        <v>27</v>
      </c>
      <c r="H239" s="95">
        <v>0.8</v>
      </c>
      <c r="I239" s="22" t="s">
        <v>43</v>
      </c>
      <c r="J239" s="125" t="s">
        <v>47</v>
      </c>
      <c r="K239" s="109"/>
      <c r="L239" s="125"/>
      <c r="M239" s="96"/>
      <c r="N239" s="45" t="s">
        <v>820</v>
      </c>
      <c r="O239" s="23" t="s">
        <v>39</v>
      </c>
      <c r="P239" s="23" t="s">
        <v>812</v>
      </c>
      <c r="Q239" s="88">
        <v>1</v>
      </c>
      <c r="R239" s="66">
        <v>45381</v>
      </c>
      <c r="S239" s="54">
        <v>45384</v>
      </c>
      <c r="T239" s="45" t="s">
        <v>19</v>
      </c>
      <c r="U239" s="100"/>
      <c r="V239" s="108"/>
      <c r="W239" s="22"/>
      <c r="X239" s="88" t="str">
        <f t="shared" si="23"/>
        <v>D1-PEW-B-2Y0.8</v>
      </c>
      <c r="Y239" s="22" t="s">
        <v>32</v>
      </c>
      <c r="Z239" s="78"/>
    </row>
    <row r="240" spans="1:26" s="70" customFormat="1" ht="24.95" customHeight="1">
      <c r="A240" s="80"/>
      <c r="B240" s="99">
        <v>45352</v>
      </c>
      <c r="C240" s="131" t="s">
        <v>35</v>
      </c>
      <c r="D240" s="22" t="s">
        <v>20</v>
      </c>
      <c r="E240" s="14" t="str">
        <f t="shared" si="24"/>
        <v>V6B</v>
      </c>
      <c r="F240" s="111" t="s">
        <v>633</v>
      </c>
      <c r="G240" s="15" t="s">
        <v>27</v>
      </c>
      <c r="H240" s="95">
        <v>1.3</v>
      </c>
      <c r="I240" s="22" t="s">
        <v>187</v>
      </c>
      <c r="J240" s="109" t="s">
        <v>854</v>
      </c>
      <c r="K240" s="55" t="s">
        <v>855</v>
      </c>
      <c r="L240" s="125" t="s">
        <v>208</v>
      </c>
      <c r="M240" s="96"/>
      <c r="N240" s="45" t="s">
        <v>856</v>
      </c>
      <c r="O240" s="23" t="s">
        <v>39</v>
      </c>
      <c r="P240" s="88">
        <v>3</v>
      </c>
      <c r="Q240" s="88">
        <v>1</v>
      </c>
      <c r="R240" s="66">
        <v>45379</v>
      </c>
      <c r="S240" s="54">
        <v>45406</v>
      </c>
      <c r="T240" s="45" t="s">
        <v>19</v>
      </c>
      <c r="U240" s="100">
        <v>1</v>
      </c>
      <c r="V240" s="108">
        <v>0</v>
      </c>
      <c r="W240" s="22" t="s">
        <v>40</v>
      </c>
      <c r="X240" s="88" t="str">
        <f t="shared" si="23"/>
        <v>2EIWAD-P1.3</v>
      </c>
      <c r="Y240" s="22" t="s">
        <v>32</v>
      </c>
      <c r="Z240" s="78"/>
    </row>
    <row r="241" spans="1:26" s="70" customFormat="1" ht="24.95" customHeight="1">
      <c r="A241" s="80"/>
      <c r="B241" s="99">
        <v>45352</v>
      </c>
      <c r="C241" s="129" t="s">
        <v>51</v>
      </c>
      <c r="D241" s="59" t="s">
        <v>20</v>
      </c>
      <c r="E241" s="14" t="str">
        <f>IF(B207="","",LEFT(N241,3))</f>
        <v>H1A</v>
      </c>
      <c r="F241" s="111" t="s">
        <v>52</v>
      </c>
      <c r="G241" s="3" t="s">
        <v>26</v>
      </c>
      <c r="H241" s="95">
        <v>0.26</v>
      </c>
      <c r="I241" s="22" t="s">
        <v>43</v>
      </c>
      <c r="J241" s="109" t="s">
        <v>299</v>
      </c>
      <c r="K241" s="130" t="s">
        <v>695</v>
      </c>
      <c r="L241" s="125" t="s">
        <v>692</v>
      </c>
      <c r="M241" s="96"/>
      <c r="N241" s="45" t="s">
        <v>693</v>
      </c>
      <c r="O241" s="23" t="s">
        <v>30</v>
      </c>
      <c r="P241" s="88">
        <v>4</v>
      </c>
      <c r="Q241" s="88">
        <v>1</v>
      </c>
      <c r="R241" s="66">
        <v>45354</v>
      </c>
      <c r="S241" s="54">
        <v>45359</v>
      </c>
      <c r="T241" s="45" t="s">
        <v>19</v>
      </c>
      <c r="U241" s="100">
        <v>1</v>
      </c>
      <c r="V241" s="108">
        <v>0</v>
      </c>
      <c r="W241" s="22" t="s">
        <v>40</v>
      </c>
      <c r="X241" s="88" t="str">
        <f t="shared" si="23"/>
        <v>D2IDW4-B-20.26</v>
      </c>
      <c r="Y241" s="22" t="s">
        <v>32</v>
      </c>
      <c r="Z241" s="78"/>
    </row>
    <row r="242" spans="1:26" s="70" customFormat="1" ht="24.95" customHeight="1">
      <c r="A242" s="80"/>
      <c r="B242" s="99">
        <v>45352</v>
      </c>
      <c r="C242" s="129" t="s">
        <v>51</v>
      </c>
      <c r="D242" s="59" t="s">
        <v>20</v>
      </c>
      <c r="E242" s="14" t="str">
        <f>IF(B208="","",LEFT(N242,3))</f>
        <v>H1A</v>
      </c>
      <c r="F242" s="111" t="s">
        <v>52</v>
      </c>
      <c r="G242" s="3" t="s">
        <v>26</v>
      </c>
      <c r="H242" s="95">
        <v>0.26</v>
      </c>
      <c r="I242" s="22" t="s">
        <v>43</v>
      </c>
      <c r="J242" s="109" t="s">
        <v>694</v>
      </c>
      <c r="K242" s="55" t="s">
        <v>696</v>
      </c>
      <c r="L242" s="125" t="s">
        <v>697</v>
      </c>
      <c r="M242" s="96"/>
      <c r="N242" s="45" t="s">
        <v>693</v>
      </c>
      <c r="O242" s="23" t="s">
        <v>29</v>
      </c>
      <c r="P242" s="88">
        <v>4</v>
      </c>
      <c r="Q242" s="88">
        <v>1</v>
      </c>
      <c r="R242" s="66">
        <v>45354</v>
      </c>
      <c r="S242" s="54">
        <v>45359</v>
      </c>
      <c r="T242" s="45" t="s">
        <v>19</v>
      </c>
      <c r="U242" s="100">
        <v>1</v>
      </c>
      <c r="V242" s="108">
        <v>0</v>
      </c>
      <c r="W242" s="22" t="s">
        <v>40</v>
      </c>
      <c r="X242" s="88" t="str">
        <f t="shared" si="23"/>
        <v>D2IDW4-B-20.26</v>
      </c>
      <c r="Y242" s="22" t="s">
        <v>32</v>
      </c>
      <c r="Z242" s="78"/>
    </row>
    <row r="243" spans="1:26" s="70" customFormat="1" ht="24.95" customHeight="1">
      <c r="A243" s="80"/>
      <c r="B243" s="99">
        <v>45352</v>
      </c>
      <c r="C243" s="129" t="s">
        <v>51</v>
      </c>
      <c r="D243" s="59" t="s">
        <v>20</v>
      </c>
      <c r="E243" s="14" t="str">
        <f>IF(B209="","",LEFT(N243,3))</f>
        <v>H1A</v>
      </c>
      <c r="F243" s="111" t="s">
        <v>52</v>
      </c>
      <c r="G243" s="3" t="s">
        <v>26</v>
      </c>
      <c r="H243" s="95">
        <v>0.26</v>
      </c>
      <c r="I243" s="22" t="s">
        <v>43</v>
      </c>
      <c r="J243" s="109" t="s">
        <v>299</v>
      </c>
      <c r="K243" s="55" t="s">
        <v>698</v>
      </c>
      <c r="L243" s="125" t="s">
        <v>699</v>
      </c>
      <c r="M243" s="96"/>
      <c r="N243" s="45" t="s">
        <v>700</v>
      </c>
      <c r="O243" s="23" t="s">
        <v>30</v>
      </c>
      <c r="P243" s="88">
        <v>4</v>
      </c>
      <c r="Q243" s="88">
        <v>1</v>
      </c>
      <c r="R243" s="66">
        <v>45355</v>
      </c>
      <c r="S243" s="54">
        <v>45359</v>
      </c>
      <c r="T243" s="45" t="s">
        <v>19</v>
      </c>
      <c r="U243" s="100">
        <v>1</v>
      </c>
      <c r="V243" s="108">
        <v>0</v>
      </c>
      <c r="W243" s="22" t="s">
        <v>40</v>
      </c>
      <c r="X243" s="88" t="str">
        <f t="shared" si="23"/>
        <v>D2IDW4-B-20.26</v>
      </c>
      <c r="Y243" s="22" t="s">
        <v>32</v>
      </c>
      <c r="Z243" s="78"/>
    </row>
    <row r="244" spans="1:26" s="70" customFormat="1" ht="24.95" customHeight="1">
      <c r="A244" s="80"/>
      <c r="B244" s="99">
        <v>45352</v>
      </c>
      <c r="C244" s="129" t="s">
        <v>51</v>
      </c>
      <c r="D244" s="59" t="s">
        <v>20</v>
      </c>
      <c r="E244" s="14" t="str">
        <f>IF(B210="","",LEFT(N244,3))</f>
        <v>H2A</v>
      </c>
      <c r="F244" s="111" t="s">
        <v>52</v>
      </c>
      <c r="G244" s="3" t="s">
        <v>26</v>
      </c>
      <c r="H244" s="95">
        <v>0.26</v>
      </c>
      <c r="I244" s="22" t="s">
        <v>43</v>
      </c>
      <c r="J244" s="109" t="s">
        <v>53</v>
      </c>
      <c r="K244" s="55" t="s">
        <v>696</v>
      </c>
      <c r="L244" s="125" t="s">
        <v>701</v>
      </c>
      <c r="M244" s="96"/>
      <c r="N244" s="45" t="s">
        <v>702</v>
      </c>
      <c r="O244" s="23" t="s">
        <v>30</v>
      </c>
      <c r="P244" s="88">
        <v>3</v>
      </c>
      <c r="Q244" s="88">
        <v>1</v>
      </c>
      <c r="R244" s="66">
        <v>45352</v>
      </c>
      <c r="S244" s="54">
        <v>45359</v>
      </c>
      <c r="T244" s="45" t="s">
        <v>19</v>
      </c>
      <c r="U244" s="100">
        <v>1</v>
      </c>
      <c r="V244" s="108">
        <v>0</v>
      </c>
      <c r="W244" s="22" t="s">
        <v>40</v>
      </c>
      <c r="X244" s="88" t="str">
        <f t="shared" si="23"/>
        <v>D2IDW4-B-20.26</v>
      </c>
      <c r="Y244" s="22" t="s">
        <v>32</v>
      </c>
      <c r="Z244" s="78"/>
    </row>
    <row r="245" spans="1:26" s="70" customFormat="1" ht="24.95" customHeight="1">
      <c r="A245" s="80"/>
      <c r="B245" s="99">
        <v>45352</v>
      </c>
      <c r="C245" s="129" t="s">
        <v>51</v>
      </c>
      <c r="D245" s="59" t="s">
        <v>20</v>
      </c>
      <c r="E245" s="14" t="str">
        <f>IF(B211="","",LEFT(N245,3))</f>
        <v>H2A</v>
      </c>
      <c r="F245" s="111" t="s">
        <v>52</v>
      </c>
      <c r="G245" s="3" t="s">
        <v>26</v>
      </c>
      <c r="H245" s="95">
        <v>0.26</v>
      </c>
      <c r="I245" s="22" t="s">
        <v>43</v>
      </c>
      <c r="J245" s="109" t="s">
        <v>221</v>
      </c>
      <c r="K245" s="55" t="s">
        <v>222</v>
      </c>
      <c r="L245" s="125" t="s">
        <v>703</v>
      </c>
      <c r="M245" s="96"/>
      <c r="N245" s="45" t="s">
        <v>704</v>
      </c>
      <c r="O245" s="23" t="s">
        <v>30</v>
      </c>
      <c r="P245" s="88">
        <v>4</v>
      </c>
      <c r="Q245" s="88">
        <v>1</v>
      </c>
      <c r="R245" s="66">
        <v>45353</v>
      </c>
      <c r="S245" s="54">
        <v>45359</v>
      </c>
      <c r="T245" s="45" t="s">
        <v>19</v>
      </c>
      <c r="U245" s="100">
        <v>1</v>
      </c>
      <c r="V245" s="108">
        <v>0</v>
      </c>
      <c r="W245" s="22" t="s">
        <v>40</v>
      </c>
      <c r="X245" s="88" t="str">
        <f t="shared" si="23"/>
        <v>D2IDW4-B-20.26</v>
      </c>
      <c r="Y245" s="22" t="s">
        <v>32</v>
      </c>
      <c r="Z245" s="78"/>
    </row>
    <row r="246" spans="1:26" s="70" customFormat="1" ht="24.95" customHeight="1">
      <c r="A246" s="80"/>
      <c r="B246" s="99">
        <v>45352</v>
      </c>
      <c r="C246" s="129" t="s">
        <v>51</v>
      </c>
      <c r="D246" s="59" t="s">
        <v>20</v>
      </c>
      <c r="E246" s="14" t="str">
        <f t="shared" si="20"/>
        <v>H1A</v>
      </c>
      <c r="F246" s="111" t="s">
        <v>52</v>
      </c>
      <c r="G246" s="3" t="s">
        <v>26</v>
      </c>
      <c r="H246" s="95">
        <v>0.26</v>
      </c>
      <c r="I246" s="22" t="s">
        <v>43</v>
      </c>
      <c r="J246" s="109" t="s">
        <v>53</v>
      </c>
      <c r="K246" s="55" t="s">
        <v>705</v>
      </c>
      <c r="L246" s="125" t="s">
        <v>706</v>
      </c>
      <c r="M246" s="96"/>
      <c r="N246" s="45" t="s">
        <v>707</v>
      </c>
      <c r="O246" s="23" t="s">
        <v>30</v>
      </c>
      <c r="P246" s="88">
        <v>2.4</v>
      </c>
      <c r="Q246" s="88">
        <v>2</v>
      </c>
      <c r="R246" s="66">
        <v>45352</v>
      </c>
      <c r="S246" s="54">
        <v>45359</v>
      </c>
      <c r="T246" s="45" t="s">
        <v>19</v>
      </c>
      <c r="U246" s="100">
        <v>2</v>
      </c>
      <c r="V246" s="108">
        <v>0</v>
      </c>
      <c r="W246" s="22" t="s">
        <v>40</v>
      </c>
      <c r="X246" s="88" t="str">
        <f t="shared" si="23"/>
        <v>D2IDW4-B-20.26</v>
      </c>
      <c r="Y246" s="22" t="s">
        <v>32</v>
      </c>
      <c r="Z246" s="78"/>
    </row>
    <row r="247" spans="1:26" s="70" customFormat="1" ht="24.95" customHeight="1">
      <c r="A247" s="80"/>
      <c r="B247" s="99">
        <v>45352</v>
      </c>
      <c r="C247" s="129" t="s">
        <v>51</v>
      </c>
      <c r="D247" s="59" t="s">
        <v>20</v>
      </c>
      <c r="E247" s="14" t="str">
        <f t="shared" si="20"/>
        <v>H76</v>
      </c>
      <c r="F247" s="111" t="s">
        <v>482</v>
      </c>
      <c r="G247" s="3" t="s">
        <v>26</v>
      </c>
      <c r="H247" s="95">
        <v>0.16</v>
      </c>
      <c r="I247" s="22" t="s">
        <v>302</v>
      </c>
      <c r="J247" s="109" t="s">
        <v>221</v>
      </c>
      <c r="K247" s="55" t="s">
        <v>222</v>
      </c>
      <c r="L247" s="125" t="s">
        <v>708</v>
      </c>
      <c r="M247" s="96"/>
      <c r="N247" s="45" t="s">
        <v>709</v>
      </c>
      <c r="O247" s="23" t="s">
        <v>30</v>
      </c>
      <c r="P247" s="88">
        <v>12.14</v>
      </c>
      <c r="Q247" s="88">
        <v>2</v>
      </c>
      <c r="R247" s="66">
        <v>45358</v>
      </c>
      <c r="S247" s="54">
        <v>45359</v>
      </c>
      <c r="T247" s="45" t="s">
        <v>19</v>
      </c>
      <c r="U247" s="100">
        <v>2</v>
      </c>
      <c r="V247" s="108">
        <v>0</v>
      </c>
      <c r="W247" s="22" t="s">
        <v>40</v>
      </c>
      <c r="X247" s="88" t="str">
        <f t="shared" si="23"/>
        <v>2AIW0.16</v>
      </c>
      <c r="Y247" s="22" t="s">
        <v>32</v>
      </c>
      <c r="Z247" s="78"/>
    </row>
    <row r="248" spans="1:26" s="70" customFormat="1" ht="24.95" customHeight="1">
      <c r="A248" s="80"/>
      <c r="B248" s="99">
        <v>45352</v>
      </c>
      <c r="C248" s="129" t="s">
        <v>51</v>
      </c>
      <c r="D248" s="59" t="s">
        <v>20</v>
      </c>
      <c r="E248" s="14" t="str">
        <f t="shared" si="20"/>
        <v>H76</v>
      </c>
      <c r="F248" s="111" t="s">
        <v>482</v>
      </c>
      <c r="G248" s="3" t="s">
        <v>26</v>
      </c>
      <c r="H248" s="95">
        <v>0.16</v>
      </c>
      <c r="I248" s="22" t="s">
        <v>302</v>
      </c>
      <c r="J248" s="109" t="s">
        <v>710</v>
      </c>
      <c r="K248" s="55" t="s">
        <v>222</v>
      </c>
      <c r="L248" s="125" t="s">
        <v>711</v>
      </c>
      <c r="M248" s="96"/>
      <c r="N248" s="45" t="s">
        <v>712</v>
      </c>
      <c r="O248" s="23" t="s">
        <v>713</v>
      </c>
      <c r="P248" s="88"/>
      <c r="Q248" s="88">
        <v>4</v>
      </c>
      <c r="R248" s="66">
        <v>45358</v>
      </c>
      <c r="S248" s="54">
        <v>45359</v>
      </c>
      <c r="T248" s="45" t="s">
        <v>19</v>
      </c>
      <c r="U248" s="100">
        <v>4</v>
      </c>
      <c r="V248" s="108">
        <v>0</v>
      </c>
      <c r="W248" s="22" t="s">
        <v>40</v>
      </c>
      <c r="X248" s="88" t="str">
        <f t="shared" si="23"/>
        <v>2AIW0.16</v>
      </c>
      <c r="Y248" s="22" t="s">
        <v>32</v>
      </c>
      <c r="Z248" s="78"/>
    </row>
    <row r="249" spans="1:26" s="70" customFormat="1" ht="24.95" customHeight="1">
      <c r="A249" s="80"/>
      <c r="B249" s="99">
        <v>45352</v>
      </c>
      <c r="C249" s="129" t="s">
        <v>51</v>
      </c>
      <c r="D249" s="59" t="s">
        <v>20</v>
      </c>
      <c r="E249" s="14" t="str">
        <f t="shared" si="20"/>
        <v>H1A</v>
      </c>
      <c r="F249" s="111" t="s">
        <v>52</v>
      </c>
      <c r="G249" s="3" t="s">
        <v>26</v>
      </c>
      <c r="H249" s="95">
        <v>0.26</v>
      </c>
      <c r="I249" s="22" t="s">
        <v>43</v>
      </c>
      <c r="J249" s="109" t="s">
        <v>53</v>
      </c>
      <c r="K249" s="130" t="s">
        <v>714</v>
      </c>
      <c r="L249" s="125" t="s">
        <v>438</v>
      </c>
      <c r="M249" s="96"/>
      <c r="N249" s="45" t="s">
        <v>715</v>
      </c>
      <c r="O249" s="23" t="s">
        <v>30</v>
      </c>
      <c r="P249" s="88">
        <v>2</v>
      </c>
      <c r="Q249" s="88">
        <v>1</v>
      </c>
      <c r="R249" s="66">
        <v>45357</v>
      </c>
      <c r="S249" s="54">
        <v>45359</v>
      </c>
      <c r="T249" s="45" t="s">
        <v>19</v>
      </c>
      <c r="U249" s="100">
        <v>1</v>
      </c>
      <c r="V249" s="108">
        <v>0</v>
      </c>
      <c r="W249" s="22" t="s">
        <v>40</v>
      </c>
      <c r="X249" s="88" t="str">
        <f t="shared" si="23"/>
        <v>D2IDW4-B-20.26</v>
      </c>
      <c r="Y249" s="22" t="s">
        <v>32</v>
      </c>
      <c r="Z249" s="78"/>
    </row>
    <row r="250" spans="1:26" s="70" customFormat="1" ht="24.95" customHeight="1">
      <c r="A250" s="80"/>
      <c r="B250" s="99">
        <v>45352</v>
      </c>
      <c r="C250" s="129" t="s">
        <v>51</v>
      </c>
      <c r="D250" s="59" t="s">
        <v>20</v>
      </c>
      <c r="E250" s="14" t="str">
        <f t="shared" si="20"/>
        <v>H1B</v>
      </c>
      <c r="F250" s="111" t="s">
        <v>52</v>
      </c>
      <c r="G250" s="3" t="s">
        <v>26</v>
      </c>
      <c r="H250" s="95">
        <v>0.26</v>
      </c>
      <c r="I250" s="22" t="s">
        <v>43</v>
      </c>
      <c r="J250" s="109" t="s">
        <v>53</v>
      </c>
      <c r="K250" s="55" t="s">
        <v>716</v>
      </c>
      <c r="L250" s="125" t="s">
        <v>717</v>
      </c>
      <c r="M250" s="96"/>
      <c r="N250" s="45" t="s">
        <v>718</v>
      </c>
      <c r="O250" s="23" t="s">
        <v>30</v>
      </c>
      <c r="P250" s="88">
        <v>4</v>
      </c>
      <c r="Q250" s="88">
        <v>1</v>
      </c>
      <c r="R250" s="66">
        <v>45353</v>
      </c>
      <c r="S250" s="54">
        <v>45359</v>
      </c>
      <c r="T250" s="45" t="s">
        <v>19</v>
      </c>
      <c r="U250" s="100">
        <v>1</v>
      </c>
      <c r="V250" s="108">
        <v>0</v>
      </c>
      <c r="W250" s="22" t="s">
        <v>40</v>
      </c>
      <c r="X250" s="88" t="str">
        <f t="shared" si="23"/>
        <v>D2IDW4-B-20.26</v>
      </c>
      <c r="Y250" s="22" t="s">
        <v>32</v>
      </c>
      <c r="Z250" s="78"/>
    </row>
    <row r="251" spans="1:26" s="70" customFormat="1" ht="24.95" customHeight="1">
      <c r="A251" s="80"/>
      <c r="B251" s="99">
        <v>45352</v>
      </c>
      <c r="C251" s="129" t="s">
        <v>51</v>
      </c>
      <c r="D251" s="59" t="s">
        <v>20</v>
      </c>
      <c r="E251" s="14" t="str">
        <f t="shared" si="20"/>
        <v>H5B</v>
      </c>
      <c r="F251" s="111" t="s">
        <v>429</v>
      </c>
      <c r="G251" s="3" t="s">
        <v>26</v>
      </c>
      <c r="H251" s="95">
        <v>0.35</v>
      </c>
      <c r="I251" s="22" t="s">
        <v>751</v>
      </c>
      <c r="J251" s="109" t="s">
        <v>752</v>
      </c>
      <c r="K251" s="55" t="s">
        <v>753</v>
      </c>
      <c r="L251" s="125" t="s">
        <v>754</v>
      </c>
      <c r="M251" s="96"/>
      <c r="N251" s="45" t="s">
        <v>755</v>
      </c>
      <c r="O251" s="132" t="s">
        <v>756</v>
      </c>
      <c r="P251" s="133" t="s">
        <v>756</v>
      </c>
      <c r="Q251" s="88">
        <v>13</v>
      </c>
      <c r="R251" s="66">
        <v>45363</v>
      </c>
      <c r="S251" s="54">
        <v>45373</v>
      </c>
      <c r="T251" s="45" t="s">
        <v>19</v>
      </c>
      <c r="U251" s="100">
        <v>13</v>
      </c>
      <c r="V251" s="108">
        <v>0</v>
      </c>
      <c r="W251" s="22" t="s">
        <v>40</v>
      </c>
      <c r="X251" s="88" t="str">
        <f t="shared" si="23"/>
        <v>2-ATZ-3000.35</v>
      </c>
      <c r="Y251" s="22" t="s">
        <v>32</v>
      </c>
      <c r="Z251" s="78"/>
    </row>
    <row r="252" spans="1:26" s="70" customFormat="1" ht="24.95" customHeight="1">
      <c r="A252" s="80"/>
      <c r="B252" s="99">
        <v>45352</v>
      </c>
      <c r="C252" s="129" t="s">
        <v>51</v>
      </c>
      <c r="D252" s="59" t="s">
        <v>20</v>
      </c>
      <c r="E252" s="14" t="str">
        <f t="shared" si="20"/>
        <v>H1A</v>
      </c>
      <c r="F252" s="111" t="s">
        <v>52</v>
      </c>
      <c r="G252" s="3" t="s">
        <v>26</v>
      </c>
      <c r="H252" s="95">
        <v>0.26</v>
      </c>
      <c r="I252" s="22" t="s">
        <v>43</v>
      </c>
      <c r="J252" s="109" t="s">
        <v>757</v>
      </c>
      <c r="K252" s="55" t="s">
        <v>758</v>
      </c>
      <c r="L252" s="125" t="s">
        <v>759</v>
      </c>
      <c r="M252" s="96"/>
      <c r="N252" s="45" t="s">
        <v>760</v>
      </c>
      <c r="O252" s="23" t="s">
        <v>30</v>
      </c>
      <c r="P252" s="88">
        <v>5</v>
      </c>
      <c r="Q252" s="88">
        <v>1</v>
      </c>
      <c r="R252" s="66">
        <v>45366</v>
      </c>
      <c r="S252" s="54">
        <v>45373</v>
      </c>
      <c r="T252" s="45" t="s">
        <v>19</v>
      </c>
      <c r="U252" s="100">
        <v>1</v>
      </c>
      <c r="V252" s="108">
        <v>0</v>
      </c>
      <c r="W252" s="22" t="s">
        <v>40</v>
      </c>
      <c r="X252" s="88" t="str">
        <f t="shared" si="23"/>
        <v>D2IDW4-B-20.26</v>
      </c>
      <c r="Y252" s="22" t="s">
        <v>32</v>
      </c>
      <c r="Z252" s="78"/>
    </row>
    <row r="253" spans="1:26" s="70" customFormat="1" ht="24.95" customHeight="1">
      <c r="A253" s="80"/>
      <c r="B253" s="99">
        <v>45352</v>
      </c>
      <c r="C253" s="129" t="s">
        <v>51</v>
      </c>
      <c r="D253" s="59" t="s">
        <v>20</v>
      </c>
      <c r="E253" s="14" t="str">
        <f t="shared" si="20"/>
        <v>H4B</v>
      </c>
      <c r="F253" s="111" t="s">
        <v>24</v>
      </c>
      <c r="G253" s="3" t="s">
        <v>26</v>
      </c>
      <c r="H253" s="95">
        <v>0.35</v>
      </c>
      <c r="I253" s="22" t="s">
        <v>487</v>
      </c>
      <c r="J253" s="109" t="s">
        <v>287</v>
      </c>
      <c r="K253" s="55"/>
      <c r="L253" s="125" t="s">
        <v>761</v>
      </c>
      <c r="M253" s="96"/>
      <c r="N253" s="45" t="s">
        <v>762</v>
      </c>
      <c r="O253" s="23" t="s">
        <v>198</v>
      </c>
      <c r="P253" s="88">
        <v>1</v>
      </c>
      <c r="Q253" s="88">
        <v>2</v>
      </c>
      <c r="R253" s="66">
        <v>45364</v>
      </c>
      <c r="S253" s="54">
        <v>45373</v>
      </c>
      <c r="T253" s="45" t="s">
        <v>19</v>
      </c>
      <c r="U253" s="100">
        <v>2</v>
      </c>
      <c r="V253" s="108">
        <v>0</v>
      </c>
      <c r="W253" s="22" t="s">
        <v>40</v>
      </c>
      <c r="X253" s="88" t="str">
        <f t="shared" si="23"/>
        <v>2PEW0.35</v>
      </c>
      <c r="Y253" s="22" t="s">
        <v>32</v>
      </c>
      <c r="Z253" s="78"/>
    </row>
    <row r="254" spans="1:26" s="70" customFormat="1" ht="24.95" customHeight="1">
      <c r="A254" s="80"/>
      <c r="B254" s="99">
        <v>45352</v>
      </c>
      <c r="C254" s="129" t="s">
        <v>51</v>
      </c>
      <c r="D254" s="59" t="s">
        <v>20</v>
      </c>
      <c r="E254" s="14" t="str">
        <f t="shared" si="20"/>
        <v>H4B</v>
      </c>
      <c r="F254" s="111" t="s">
        <v>48</v>
      </c>
      <c r="G254" s="3" t="s">
        <v>26</v>
      </c>
      <c r="H254" s="95">
        <v>0.35</v>
      </c>
      <c r="I254" s="22" t="s">
        <v>178</v>
      </c>
      <c r="J254" s="109" t="s">
        <v>763</v>
      </c>
      <c r="K254" s="55" t="s">
        <v>764</v>
      </c>
      <c r="L254" s="125" t="s">
        <v>765</v>
      </c>
      <c r="M254" s="96"/>
      <c r="N254" s="45" t="s">
        <v>766</v>
      </c>
      <c r="O254" s="23" t="s">
        <v>176</v>
      </c>
      <c r="P254" s="88">
        <v>1</v>
      </c>
      <c r="Q254" s="88">
        <v>2</v>
      </c>
      <c r="R254" s="66">
        <v>45369</v>
      </c>
      <c r="S254" s="54">
        <v>45373</v>
      </c>
      <c r="T254" s="45" t="s">
        <v>19</v>
      </c>
      <c r="U254" s="100">
        <v>2</v>
      </c>
      <c r="V254" s="108">
        <v>0</v>
      </c>
      <c r="W254" s="22" t="s">
        <v>40</v>
      </c>
      <c r="X254" s="88" t="str">
        <f t="shared" si="23"/>
        <v>D2-PEW-B-10.35</v>
      </c>
      <c r="Y254" s="22" t="s">
        <v>32</v>
      </c>
      <c r="Z254" s="78"/>
    </row>
    <row r="255" spans="1:26" s="70" customFormat="1" ht="24.95" customHeight="1">
      <c r="A255" s="80"/>
      <c r="B255" s="99">
        <v>45352</v>
      </c>
      <c r="C255" s="129" t="s">
        <v>51</v>
      </c>
      <c r="D255" s="59" t="s">
        <v>20</v>
      </c>
      <c r="E255" s="14" t="str">
        <f t="shared" si="20"/>
        <v>H4B</v>
      </c>
      <c r="F255" s="111" t="s">
        <v>48</v>
      </c>
      <c r="G255" s="3" t="s">
        <v>26</v>
      </c>
      <c r="H255" s="95">
        <v>0.35</v>
      </c>
      <c r="I255" s="22" t="s">
        <v>178</v>
      </c>
      <c r="J255" s="109" t="s">
        <v>763</v>
      </c>
      <c r="K255" s="55" t="s">
        <v>767</v>
      </c>
      <c r="L255" s="125" t="s">
        <v>765</v>
      </c>
      <c r="M255" s="96"/>
      <c r="N255" s="45" t="s">
        <v>768</v>
      </c>
      <c r="O255" s="23" t="s">
        <v>176</v>
      </c>
      <c r="P255" s="88">
        <v>1</v>
      </c>
      <c r="Q255" s="88">
        <v>2</v>
      </c>
      <c r="R255" s="66">
        <v>45367</v>
      </c>
      <c r="S255" s="54">
        <v>45373</v>
      </c>
      <c r="T255" s="45" t="s">
        <v>19</v>
      </c>
      <c r="U255" s="100">
        <v>2</v>
      </c>
      <c r="V255" s="108">
        <v>0</v>
      </c>
      <c r="W255" s="22" t="s">
        <v>40</v>
      </c>
      <c r="X255" s="88" t="str">
        <f t="shared" si="23"/>
        <v>D2-PEW-B-10.35</v>
      </c>
      <c r="Y255" s="22" t="s">
        <v>32</v>
      </c>
      <c r="Z255" s="78"/>
    </row>
    <row r="256" spans="1:26" s="70" customFormat="1" ht="24.95" customHeight="1">
      <c r="A256" s="80"/>
      <c r="B256" s="99">
        <v>45352</v>
      </c>
      <c r="C256" s="129" t="s">
        <v>51</v>
      </c>
      <c r="D256" s="22" t="s">
        <v>20</v>
      </c>
      <c r="E256" s="14" t="str">
        <f t="shared" si="20"/>
        <v>H4B</v>
      </c>
      <c r="F256" s="111" t="s">
        <v>48</v>
      </c>
      <c r="G256" s="3" t="s">
        <v>26</v>
      </c>
      <c r="H256" s="95">
        <v>0.35</v>
      </c>
      <c r="I256" s="22" t="s">
        <v>178</v>
      </c>
      <c r="J256" s="109" t="s">
        <v>763</v>
      </c>
      <c r="K256" s="55" t="s">
        <v>769</v>
      </c>
      <c r="L256" s="125" t="s">
        <v>765</v>
      </c>
      <c r="M256" s="96"/>
      <c r="N256" s="45" t="s">
        <v>768</v>
      </c>
      <c r="O256" s="23" t="s">
        <v>39</v>
      </c>
      <c r="P256" s="88">
        <v>1</v>
      </c>
      <c r="Q256" s="88">
        <v>1</v>
      </c>
      <c r="R256" s="66">
        <v>45368</v>
      </c>
      <c r="S256" s="54">
        <v>45373</v>
      </c>
      <c r="T256" s="45" t="s">
        <v>19</v>
      </c>
      <c r="U256" s="100">
        <v>1</v>
      </c>
      <c r="V256" s="108">
        <v>0</v>
      </c>
      <c r="W256" s="22" t="s">
        <v>40</v>
      </c>
      <c r="X256" s="88" t="str">
        <f t="shared" si="23"/>
        <v>D2-PEW-B-10.35</v>
      </c>
      <c r="Y256" s="22" t="s">
        <v>32</v>
      </c>
      <c r="Z256" s="78"/>
    </row>
    <row r="257" spans="1:26" s="70" customFormat="1" ht="24.95" customHeight="1">
      <c r="A257" s="80"/>
      <c r="B257" s="99">
        <v>45352</v>
      </c>
      <c r="C257" s="129" t="s">
        <v>51</v>
      </c>
      <c r="D257" s="59" t="s">
        <v>20</v>
      </c>
      <c r="E257" s="14" t="str">
        <f t="shared" ref="E257:E261" si="25">IF(B252="","",LEFT(N257,3))</f>
        <v>H4A</v>
      </c>
      <c r="F257" s="111" t="s">
        <v>48</v>
      </c>
      <c r="G257" s="3" t="s">
        <v>26</v>
      </c>
      <c r="H257" s="95">
        <v>0.35</v>
      </c>
      <c r="I257" s="22" t="s">
        <v>178</v>
      </c>
      <c r="J257" s="109" t="s">
        <v>763</v>
      </c>
      <c r="K257" s="55" t="s">
        <v>770</v>
      </c>
      <c r="L257" s="125" t="s">
        <v>765</v>
      </c>
      <c r="M257" s="96"/>
      <c r="N257" s="45" t="s">
        <v>771</v>
      </c>
      <c r="O257" s="23" t="s">
        <v>39</v>
      </c>
      <c r="P257" s="88">
        <v>1</v>
      </c>
      <c r="Q257" s="88">
        <v>1</v>
      </c>
      <c r="R257" s="66">
        <v>45368</v>
      </c>
      <c r="S257" s="54">
        <v>45373</v>
      </c>
      <c r="T257" s="45" t="s">
        <v>19</v>
      </c>
      <c r="U257" s="100">
        <v>1</v>
      </c>
      <c r="V257" s="108">
        <v>0</v>
      </c>
      <c r="W257" s="22" t="s">
        <v>40</v>
      </c>
      <c r="X257" s="88" t="str">
        <f t="shared" si="23"/>
        <v>D2-PEW-B-10.35</v>
      </c>
      <c r="Y257" s="22" t="s">
        <v>32</v>
      </c>
      <c r="Z257" s="78"/>
    </row>
    <row r="258" spans="1:26" s="70" customFormat="1" ht="24.95" customHeight="1">
      <c r="A258" s="80"/>
      <c r="B258" s="99">
        <v>45352</v>
      </c>
      <c r="C258" s="129" t="s">
        <v>51</v>
      </c>
      <c r="D258" s="59" t="s">
        <v>20</v>
      </c>
      <c r="E258" s="14" t="str">
        <f t="shared" si="25"/>
        <v>H4A</v>
      </c>
      <c r="F258" s="111" t="s">
        <v>48</v>
      </c>
      <c r="G258" s="3" t="s">
        <v>26</v>
      </c>
      <c r="H258" s="95">
        <v>0.35</v>
      </c>
      <c r="I258" s="22" t="s">
        <v>178</v>
      </c>
      <c r="J258" s="109" t="s">
        <v>763</v>
      </c>
      <c r="K258" s="55" t="s">
        <v>770</v>
      </c>
      <c r="L258" s="125" t="s">
        <v>765</v>
      </c>
      <c r="M258" s="96"/>
      <c r="N258" s="45" t="s">
        <v>771</v>
      </c>
      <c r="O258" s="23" t="s">
        <v>176</v>
      </c>
      <c r="P258" s="88">
        <v>1</v>
      </c>
      <c r="Q258" s="88">
        <v>2</v>
      </c>
      <c r="R258" s="66">
        <v>45367</v>
      </c>
      <c r="S258" s="54">
        <v>45373</v>
      </c>
      <c r="T258" s="45" t="s">
        <v>19</v>
      </c>
      <c r="U258" s="100">
        <v>2</v>
      </c>
      <c r="V258" s="108">
        <v>0</v>
      </c>
      <c r="W258" s="22" t="s">
        <v>40</v>
      </c>
      <c r="X258" s="88" t="str">
        <f t="shared" si="23"/>
        <v>D2-PEW-B-10.35</v>
      </c>
      <c r="Y258" s="22" t="s">
        <v>32</v>
      </c>
      <c r="Z258" s="78"/>
    </row>
    <row r="259" spans="1:26" s="70" customFormat="1" ht="24.95" customHeight="1">
      <c r="A259" s="80"/>
      <c r="B259" s="99">
        <v>45352</v>
      </c>
      <c r="C259" s="129" t="s">
        <v>51</v>
      </c>
      <c r="D259" s="59" t="s">
        <v>20</v>
      </c>
      <c r="E259" s="14" t="str">
        <f t="shared" si="25"/>
        <v>H2B</v>
      </c>
      <c r="F259" s="111" t="s">
        <v>482</v>
      </c>
      <c r="G259" s="3" t="s">
        <v>26</v>
      </c>
      <c r="H259" s="95">
        <v>0.37</v>
      </c>
      <c r="I259" s="22" t="s">
        <v>487</v>
      </c>
      <c r="J259" s="109" t="s">
        <v>221</v>
      </c>
      <c r="K259" s="55" t="s">
        <v>222</v>
      </c>
      <c r="L259" s="125"/>
      <c r="M259" s="96"/>
      <c r="N259" s="45" t="s">
        <v>776</v>
      </c>
      <c r="O259" s="23" t="s">
        <v>30</v>
      </c>
      <c r="P259" s="88">
        <v>5</v>
      </c>
      <c r="Q259" s="88">
        <v>1</v>
      </c>
      <c r="R259" s="66">
        <v>45372</v>
      </c>
      <c r="S259" s="54">
        <v>45377</v>
      </c>
      <c r="T259" s="45" t="s">
        <v>19</v>
      </c>
      <c r="U259" s="100">
        <v>1</v>
      </c>
      <c r="V259" s="108">
        <v>0</v>
      </c>
      <c r="W259" s="22" t="s">
        <v>40</v>
      </c>
      <c r="X259" s="88" t="str">
        <f t="shared" si="23"/>
        <v>2AIW0.37</v>
      </c>
      <c r="Y259" s="22" t="s">
        <v>32</v>
      </c>
      <c r="Z259" s="78"/>
    </row>
    <row r="260" spans="1:26" s="70" customFormat="1" ht="24.95" customHeight="1">
      <c r="A260" s="80"/>
      <c r="B260" s="99">
        <v>45352</v>
      </c>
      <c r="C260" s="129" t="s">
        <v>51</v>
      </c>
      <c r="D260" s="59" t="s">
        <v>20</v>
      </c>
      <c r="E260" s="14" t="str">
        <f t="shared" si="25"/>
        <v>H1A</v>
      </c>
      <c r="F260" s="111" t="s">
        <v>52</v>
      </c>
      <c r="G260" s="3" t="s">
        <v>26</v>
      </c>
      <c r="H260" s="95">
        <v>0.26</v>
      </c>
      <c r="I260" s="22" t="s">
        <v>43</v>
      </c>
      <c r="J260" s="109" t="s">
        <v>53</v>
      </c>
      <c r="K260" s="55" t="s">
        <v>777</v>
      </c>
      <c r="L260" s="125" t="s">
        <v>778</v>
      </c>
      <c r="M260" s="96"/>
      <c r="N260" s="45" t="s">
        <v>779</v>
      </c>
      <c r="O260" s="23" t="s">
        <v>30</v>
      </c>
      <c r="P260" s="88">
        <v>4</v>
      </c>
      <c r="Q260" s="88">
        <v>1</v>
      </c>
      <c r="R260" s="66">
        <v>45372</v>
      </c>
      <c r="S260" s="54">
        <v>45377</v>
      </c>
      <c r="T260" s="45" t="s">
        <v>19</v>
      </c>
      <c r="U260" s="100">
        <v>1</v>
      </c>
      <c r="V260" s="108">
        <v>0</v>
      </c>
      <c r="W260" s="22" t="s">
        <v>40</v>
      </c>
      <c r="X260" s="88" t="str">
        <f t="shared" si="23"/>
        <v>D2IDW4-B-20.26</v>
      </c>
      <c r="Y260" s="22" t="s">
        <v>32</v>
      </c>
      <c r="Z260" s="78"/>
    </row>
    <row r="261" spans="1:26" s="70" customFormat="1" ht="24.95" customHeight="1">
      <c r="A261" s="80"/>
      <c r="B261" s="99">
        <v>45352</v>
      </c>
      <c r="C261" s="129" t="s">
        <v>51</v>
      </c>
      <c r="D261" s="59" t="s">
        <v>20</v>
      </c>
      <c r="E261" s="14" t="str">
        <f t="shared" si="25"/>
        <v>H3B</v>
      </c>
      <c r="F261" s="111" t="s">
        <v>482</v>
      </c>
      <c r="G261" s="3" t="s">
        <v>26</v>
      </c>
      <c r="H261" s="95">
        <v>0.21</v>
      </c>
      <c r="I261" s="22" t="s">
        <v>25</v>
      </c>
      <c r="J261" s="109" t="s">
        <v>53</v>
      </c>
      <c r="K261" s="55" t="s">
        <v>780</v>
      </c>
      <c r="L261" s="126" t="s">
        <v>781</v>
      </c>
      <c r="M261" s="96"/>
      <c r="N261" s="45" t="s">
        <v>782</v>
      </c>
      <c r="O261" s="23" t="s">
        <v>783</v>
      </c>
      <c r="P261" s="88">
        <v>1</v>
      </c>
      <c r="Q261" s="88">
        <v>3</v>
      </c>
      <c r="R261" s="66">
        <v>45372</v>
      </c>
      <c r="S261" s="54">
        <v>45377</v>
      </c>
      <c r="T261" s="45" t="s">
        <v>19</v>
      </c>
      <c r="U261" s="100">
        <v>3</v>
      </c>
      <c r="V261" s="108">
        <v>0</v>
      </c>
      <c r="W261" s="22" t="s">
        <v>40</v>
      </c>
      <c r="X261" s="88" t="str">
        <f t="shared" si="23"/>
        <v>2AIW0.21</v>
      </c>
      <c r="Y261" s="22" t="s">
        <v>32</v>
      </c>
      <c r="Z261" s="78"/>
    </row>
    <row r="262" spans="1:26" s="70" customFormat="1" ht="24.95" customHeight="1">
      <c r="A262" s="80"/>
      <c r="B262" s="99">
        <v>45352</v>
      </c>
      <c r="C262" s="129" t="s">
        <v>51</v>
      </c>
      <c r="D262" s="59" t="s">
        <v>20</v>
      </c>
      <c r="E262" s="14" t="str">
        <f t="shared" ref="E262:E346" si="26">IF(B257="","",LEFT(N262,3))</f>
        <v>H5A</v>
      </c>
      <c r="F262" s="111" t="s">
        <v>429</v>
      </c>
      <c r="G262" s="3" t="s">
        <v>26</v>
      </c>
      <c r="H262" s="95">
        <v>0.42</v>
      </c>
      <c r="I262" s="22" t="s">
        <v>430</v>
      </c>
      <c r="J262" s="109" t="s">
        <v>274</v>
      </c>
      <c r="K262" s="55" t="s">
        <v>797</v>
      </c>
      <c r="L262" s="126" t="s">
        <v>798</v>
      </c>
      <c r="M262" s="96"/>
      <c r="N262" s="45" t="s">
        <v>799</v>
      </c>
      <c r="O262" s="23" t="s">
        <v>195</v>
      </c>
      <c r="P262" s="88">
        <v>1</v>
      </c>
      <c r="Q262" s="88">
        <v>1</v>
      </c>
      <c r="R262" s="66">
        <v>45372</v>
      </c>
      <c r="S262" s="54">
        <v>45378</v>
      </c>
      <c r="T262" s="45" t="s">
        <v>19</v>
      </c>
      <c r="U262" s="100">
        <v>0</v>
      </c>
      <c r="V262" s="108">
        <v>1</v>
      </c>
      <c r="W262" s="22" t="s">
        <v>40</v>
      </c>
      <c r="X262" s="88" t="str">
        <f t="shared" ref="X262:X346" si="27">F262&amp;H262</f>
        <v>2-ATZ-3000.42</v>
      </c>
      <c r="Y262" s="22" t="s">
        <v>182</v>
      </c>
      <c r="Z262" s="78"/>
    </row>
    <row r="263" spans="1:26" s="70" customFormat="1" ht="24.95" customHeight="1">
      <c r="A263" s="80"/>
      <c r="B263" s="99">
        <v>45352</v>
      </c>
      <c r="C263" s="129" t="s">
        <v>51</v>
      </c>
      <c r="D263" s="59" t="s">
        <v>20</v>
      </c>
      <c r="E263" s="14" t="str">
        <f t="shared" si="26"/>
        <v>H3B</v>
      </c>
      <c r="F263" s="111" t="s">
        <v>482</v>
      </c>
      <c r="G263" s="3" t="s">
        <v>26</v>
      </c>
      <c r="H263" s="95">
        <v>0.21</v>
      </c>
      <c r="I263" s="22" t="s">
        <v>25</v>
      </c>
      <c r="J263" s="109" t="s">
        <v>53</v>
      </c>
      <c r="K263" s="55" t="s">
        <v>821</v>
      </c>
      <c r="L263" s="125" t="s">
        <v>822</v>
      </c>
      <c r="M263" s="96"/>
      <c r="N263" s="45" t="s">
        <v>823</v>
      </c>
      <c r="O263" s="23" t="s">
        <v>198</v>
      </c>
      <c r="P263" s="88">
        <v>1</v>
      </c>
      <c r="Q263" s="88">
        <v>2</v>
      </c>
      <c r="R263" s="66">
        <v>45379</v>
      </c>
      <c r="S263" s="54">
        <v>45385</v>
      </c>
      <c r="T263" s="45" t="s">
        <v>19</v>
      </c>
      <c r="U263" s="100">
        <v>2</v>
      </c>
      <c r="V263" s="108">
        <v>0</v>
      </c>
      <c r="W263" s="22" t="s">
        <v>40</v>
      </c>
      <c r="X263" s="88" t="str">
        <f t="shared" si="27"/>
        <v>2AIW0.21</v>
      </c>
      <c r="Y263" s="22" t="s">
        <v>32</v>
      </c>
      <c r="Z263" s="78"/>
    </row>
    <row r="264" spans="1:26" s="70" customFormat="1" ht="24.95" customHeight="1">
      <c r="A264" s="80"/>
      <c r="B264" s="99">
        <v>45352</v>
      </c>
      <c r="C264" s="129" t="s">
        <v>51</v>
      </c>
      <c r="D264" s="59" t="s">
        <v>20</v>
      </c>
      <c r="E264" s="14" t="str">
        <f t="shared" si="26"/>
        <v>H3A</v>
      </c>
      <c r="F264" s="111" t="s">
        <v>482</v>
      </c>
      <c r="G264" s="3" t="s">
        <v>26</v>
      </c>
      <c r="H264" s="95">
        <v>0.21</v>
      </c>
      <c r="I264" s="22" t="s">
        <v>25</v>
      </c>
      <c r="J264" s="109" t="s">
        <v>53</v>
      </c>
      <c r="K264" s="55" t="s">
        <v>824</v>
      </c>
      <c r="L264" s="125" t="s">
        <v>825</v>
      </c>
      <c r="M264" s="96"/>
      <c r="N264" s="45" t="s">
        <v>826</v>
      </c>
      <c r="O264" s="23" t="s">
        <v>39</v>
      </c>
      <c r="P264" s="88">
        <v>1</v>
      </c>
      <c r="Q264" s="88">
        <v>1</v>
      </c>
      <c r="R264" s="66">
        <v>45379</v>
      </c>
      <c r="S264" s="54">
        <v>45385</v>
      </c>
      <c r="T264" s="45" t="s">
        <v>19</v>
      </c>
      <c r="U264" s="100">
        <v>1</v>
      </c>
      <c r="V264" s="108">
        <v>0</v>
      </c>
      <c r="W264" s="22" t="s">
        <v>40</v>
      </c>
      <c r="X264" s="88" t="str">
        <f t="shared" si="27"/>
        <v>2AIW0.21</v>
      </c>
      <c r="Y264" s="22" t="s">
        <v>32</v>
      </c>
      <c r="Z264" s="78"/>
    </row>
    <row r="265" spans="1:26" s="70" customFormat="1" ht="24.95" customHeight="1">
      <c r="A265" s="80"/>
      <c r="B265" s="99">
        <v>45383</v>
      </c>
      <c r="C265" s="135" t="s">
        <v>35</v>
      </c>
      <c r="D265" s="59" t="s">
        <v>20</v>
      </c>
      <c r="E265" s="14" t="str">
        <f t="shared" si="26"/>
        <v>V6B</v>
      </c>
      <c r="F265" s="111" t="s">
        <v>165</v>
      </c>
      <c r="G265" s="15" t="s">
        <v>27</v>
      </c>
      <c r="H265" s="95">
        <v>1.81</v>
      </c>
      <c r="I265" s="22" t="s">
        <v>28</v>
      </c>
      <c r="J265" s="109" t="s">
        <v>260</v>
      </c>
      <c r="K265" s="55" t="s">
        <v>827</v>
      </c>
      <c r="L265" s="125" t="s">
        <v>828</v>
      </c>
      <c r="M265" s="96"/>
      <c r="N265" s="45" t="s">
        <v>829</v>
      </c>
      <c r="O265" s="23" t="s">
        <v>30</v>
      </c>
      <c r="P265" s="45" t="s">
        <v>672</v>
      </c>
      <c r="Q265" s="88">
        <v>6</v>
      </c>
      <c r="R265" s="66">
        <v>45412</v>
      </c>
      <c r="S265" s="54">
        <v>45425</v>
      </c>
      <c r="T265" s="45" t="s">
        <v>19</v>
      </c>
      <c r="U265" s="100">
        <v>6</v>
      </c>
      <c r="V265" s="108">
        <v>0</v>
      </c>
      <c r="W265" s="22" t="s">
        <v>40</v>
      </c>
      <c r="X265" s="88" t="str">
        <f t="shared" si="27"/>
        <v>2EIWAD-O1.81</v>
      </c>
      <c r="Y265" s="22" t="s">
        <v>32</v>
      </c>
      <c r="Z265" s="78"/>
    </row>
    <row r="266" spans="1:26" s="70" customFormat="1" ht="24.95" customHeight="1">
      <c r="A266" s="80"/>
      <c r="B266" s="99">
        <v>45383</v>
      </c>
      <c r="C266" s="135" t="s">
        <v>35</v>
      </c>
      <c r="D266" s="59" t="s">
        <v>20</v>
      </c>
      <c r="E266" s="14" t="str">
        <f t="shared" si="26"/>
        <v>VOB</v>
      </c>
      <c r="F266" s="111" t="s">
        <v>200</v>
      </c>
      <c r="G266" s="15" t="s">
        <v>27</v>
      </c>
      <c r="H266" s="95">
        <v>0.7</v>
      </c>
      <c r="I266" s="22" t="s">
        <v>31</v>
      </c>
      <c r="J266" s="109" t="s">
        <v>830</v>
      </c>
      <c r="K266" s="55" t="s">
        <v>831</v>
      </c>
      <c r="L266" s="125" t="s">
        <v>832</v>
      </c>
      <c r="M266" s="96"/>
      <c r="N266" s="45" t="s">
        <v>833</v>
      </c>
      <c r="O266" s="23" t="s">
        <v>30</v>
      </c>
      <c r="P266" s="45" t="s">
        <v>38</v>
      </c>
      <c r="Q266" s="88">
        <v>5</v>
      </c>
      <c r="R266" s="66">
        <v>45412</v>
      </c>
      <c r="S266" s="54">
        <v>45425</v>
      </c>
      <c r="T266" s="45" t="s">
        <v>19</v>
      </c>
      <c r="U266" s="100">
        <v>5</v>
      </c>
      <c r="V266" s="108">
        <v>0</v>
      </c>
      <c r="W266" s="22" t="s">
        <v>40</v>
      </c>
      <c r="X266" s="88" t="str">
        <f t="shared" si="27"/>
        <v>D2IDW-4-B-20.7</v>
      </c>
      <c r="Y266" s="22" t="s">
        <v>32</v>
      </c>
      <c r="Z266" s="78"/>
    </row>
    <row r="267" spans="1:26" s="70" customFormat="1" ht="24.95" customHeight="1">
      <c r="A267" s="80"/>
      <c r="B267" s="99">
        <v>45383</v>
      </c>
      <c r="C267" s="135" t="s">
        <v>35</v>
      </c>
      <c r="D267" s="59" t="s">
        <v>20</v>
      </c>
      <c r="E267" s="14" t="str">
        <f t="shared" si="26"/>
        <v>V6A</v>
      </c>
      <c r="F267" s="111" t="s">
        <v>186</v>
      </c>
      <c r="G267" s="15" t="s">
        <v>27</v>
      </c>
      <c r="H267" s="111">
        <v>1.18</v>
      </c>
      <c r="I267" s="22" t="s">
        <v>187</v>
      </c>
      <c r="J267" s="109" t="s">
        <v>951</v>
      </c>
      <c r="K267" s="55"/>
      <c r="L267" s="125" t="s">
        <v>60</v>
      </c>
      <c r="M267" s="96"/>
      <c r="N267" s="45" t="s">
        <v>834</v>
      </c>
      <c r="O267" s="23" t="s">
        <v>263</v>
      </c>
      <c r="P267" s="45" t="s">
        <v>38</v>
      </c>
      <c r="Q267" s="88">
        <v>5</v>
      </c>
      <c r="R267" s="66">
        <v>45405</v>
      </c>
      <c r="S267" s="54">
        <v>45407</v>
      </c>
      <c r="T267" s="45" t="s">
        <v>19</v>
      </c>
      <c r="U267" s="100">
        <v>5</v>
      </c>
      <c r="V267" s="108">
        <v>0</v>
      </c>
      <c r="W267" s="22" t="s">
        <v>40</v>
      </c>
      <c r="X267" s="88" t="str">
        <f t="shared" si="27"/>
        <v>1HGZ-MA1.18</v>
      </c>
      <c r="Y267" s="22" t="s">
        <v>32</v>
      </c>
      <c r="Z267" s="78"/>
    </row>
    <row r="268" spans="1:26" s="70" customFormat="1" ht="24.95" customHeight="1">
      <c r="A268" s="80"/>
      <c r="B268" s="99">
        <v>45383</v>
      </c>
      <c r="C268" s="135" t="s">
        <v>35</v>
      </c>
      <c r="D268" s="59" t="s">
        <v>20</v>
      </c>
      <c r="E268" s="14" t="str">
        <f t="shared" si="26"/>
        <v>12A</v>
      </c>
      <c r="F268" s="111" t="s">
        <v>165</v>
      </c>
      <c r="G268" s="15" t="s">
        <v>27</v>
      </c>
      <c r="H268" s="95">
        <v>1.81</v>
      </c>
      <c r="I268" s="22" t="s">
        <v>329</v>
      </c>
      <c r="J268" s="109" t="s">
        <v>835</v>
      </c>
      <c r="K268" s="55" t="s">
        <v>836</v>
      </c>
      <c r="L268" s="125" t="s">
        <v>837</v>
      </c>
      <c r="M268" s="96"/>
      <c r="N268" s="45" t="s">
        <v>838</v>
      </c>
      <c r="O268" s="23" t="s">
        <v>30</v>
      </c>
      <c r="P268" s="88">
        <v>4</v>
      </c>
      <c r="Q268" s="88">
        <v>1</v>
      </c>
      <c r="R268" s="66">
        <v>45403</v>
      </c>
      <c r="S268" s="54">
        <v>45406</v>
      </c>
      <c r="T268" s="45" t="s">
        <v>19</v>
      </c>
      <c r="U268" s="100">
        <v>1</v>
      </c>
      <c r="V268" s="108">
        <v>0</v>
      </c>
      <c r="W268" s="22" t="s">
        <v>40</v>
      </c>
      <c r="X268" s="88" t="str">
        <f t="shared" si="27"/>
        <v>2EIWAD-O1.81</v>
      </c>
      <c r="Y268" s="22" t="s">
        <v>32</v>
      </c>
      <c r="Z268" s="78"/>
    </row>
    <row r="269" spans="1:26" s="70" customFormat="1" ht="24.95" customHeight="1">
      <c r="A269" s="80"/>
      <c r="B269" s="99">
        <v>45383</v>
      </c>
      <c r="C269" s="135" t="s">
        <v>35</v>
      </c>
      <c r="D269" s="59" t="s">
        <v>20</v>
      </c>
      <c r="E269" s="14" t="str">
        <f t="shared" si="26"/>
        <v>VOB</v>
      </c>
      <c r="F269" s="111" t="s">
        <v>535</v>
      </c>
      <c r="G269" s="15" t="s">
        <v>27</v>
      </c>
      <c r="H269" s="95">
        <v>0.57999999999999996</v>
      </c>
      <c r="I269" s="22" t="s">
        <v>536</v>
      </c>
      <c r="J269" s="109" t="s">
        <v>839</v>
      </c>
      <c r="K269" s="55"/>
      <c r="L269" s="125" t="s">
        <v>840</v>
      </c>
      <c r="M269" s="96"/>
      <c r="N269" s="45" t="s">
        <v>841</v>
      </c>
      <c r="O269" s="23" t="s">
        <v>30</v>
      </c>
      <c r="P269" s="45" t="s">
        <v>38</v>
      </c>
      <c r="Q269" s="88">
        <v>5</v>
      </c>
      <c r="R269" s="66">
        <v>45404</v>
      </c>
      <c r="S269" s="54">
        <v>45407</v>
      </c>
      <c r="T269" s="45" t="s">
        <v>19</v>
      </c>
      <c r="U269" s="100">
        <v>5</v>
      </c>
      <c r="V269" s="108">
        <v>0</v>
      </c>
      <c r="W269" s="22" t="s">
        <v>40</v>
      </c>
      <c r="X269" s="88" t="str">
        <f t="shared" si="27"/>
        <v>D2IDW4A-10.58</v>
      </c>
      <c r="Y269" s="22" t="s">
        <v>32</v>
      </c>
      <c r="Z269" s="78"/>
    </row>
    <row r="270" spans="1:26" s="70" customFormat="1" ht="27" customHeight="1">
      <c r="A270" s="80"/>
      <c r="B270" s="99">
        <v>45383</v>
      </c>
      <c r="C270" s="135" t="s">
        <v>35</v>
      </c>
      <c r="D270" s="59" t="s">
        <v>20</v>
      </c>
      <c r="E270" s="14" t="str">
        <f t="shared" si="26"/>
        <v>VOB</v>
      </c>
      <c r="F270" s="111" t="s">
        <v>535</v>
      </c>
      <c r="G270" s="15" t="s">
        <v>27</v>
      </c>
      <c r="H270" s="95">
        <v>0.57999999999999996</v>
      </c>
      <c r="I270" s="22" t="s">
        <v>536</v>
      </c>
      <c r="J270" s="109" t="s">
        <v>260</v>
      </c>
      <c r="K270" s="55" t="s">
        <v>842</v>
      </c>
      <c r="L270" s="126" t="s">
        <v>843</v>
      </c>
      <c r="M270" s="96"/>
      <c r="N270" s="45" t="s">
        <v>844</v>
      </c>
      <c r="O270" s="23" t="s">
        <v>29</v>
      </c>
      <c r="P270" s="45" t="s">
        <v>38</v>
      </c>
      <c r="Q270" s="88">
        <v>5</v>
      </c>
      <c r="R270" s="66">
        <v>45404</v>
      </c>
      <c r="S270" s="54">
        <v>45407</v>
      </c>
      <c r="T270" s="45" t="s">
        <v>19</v>
      </c>
      <c r="U270" s="100">
        <v>5</v>
      </c>
      <c r="V270" s="108">
        <v>0</v>
      </c>
      <c r="W270" s="22" t="s">
        <v>40</v>
      </c>
      <c r="X270" s="88" t="str">
        <f t="shared" si="27"/>
        <v>D2IDW4A-10.58</v>
      </c>
      <c r="Y270" s="22" t="s">
        <v>32</v>
      </c>
      <c r="Z270" s="78"/>
    </row>
    <row r="271" spans="1:26" s="70" customFormat="1" ht="24.95" customHeight="1">
      <c r="A271" s="80"/>
      <c r="B271" s="99">
        <v>45383</v>
      </c>
      <c r="C271" s="135" t="s">
        <v>35</v>
      </c>
      <c r="D271" s="59" t="s">
        <v>20</v>
      </c>
      <c r="E271" s="14" t="str">
        <f t="shared" si="26"/>
        <v>11A</v>
      </c>
      <c r="F271" s="111" t="s">
        <v>24</v>
      </c>
      <c r="G271" s="15" t="s">
        <v>27</v>
      </c>
      <c r="H271" s="95">
        <v>0.8</v>
      </c>
      <c r="I271" s="22" t="s">
        <v>28</v>
      </c>
      <c r="J271" s="109" t="s">
        <v>562</v>
      </c>
      <c r="K271" s="55" t="s">
        <v>845</v>
      </c>
      <c r="L271" s="125" t="s">
        <v>809</v>
      </c>
      <c r="M271" s="96"/>
      <c r="N271" s="45" t="s">
        <v>846</v>
      </c>
      <c r="O271" s="23" t="s">
        <v>847</v>
      </c>
      <c r="P271" s="88">
        <v>5</v>
      </c>
      <c r="Q271" s="88">
        <v>3</v>
      </c>
      <c r="R271" s="66">
        <v>45383</v>
      </c>
      <c r="S271" s="54">
        <v>45384</v>
      </c>
      <c r="T271" s="45" t="s">
        <v>19</v>
      </c>
      <c r="U271" s="100">
        <v>3</v>
      </c>
      <c r="V271" s="108">
        <v>0</v>
      </c>
      <c r="W271" s="22" t="s">
        <v>40</v>
      </c>
      <c r="X271" s="88" t="str">
        <f t="shared" si="27"/>
        <v>2PEW0.8</v>
      </c>
      <c r="Y271" s="22" t="s">
        <v>32</v>
      </c>
      <c r="Z271" s="78"/>
    </row>
    <row r="272" spans="1:26" s="70" customFormat="1" ht="24.95" customHeight="1">
      <c r="A272" s="80"/>
      <c r="B272" s="99">
        <v>45383</v>
      </c>
      <c r="C272" s="135" t="s">
        <v>35</v>
      </c>
      <c r="D272" s="59" t="s">
        <v>20</v>
      </c>
      <c r="E272" s="14" t="str">
        <f t="shared" si="26"/>
        <v>V8A</v>
      </c>
      <c r="F272" s="111" t="s">
        <v>529</v>
      </c>
      <c r="G272" s="3" t="s">
        <v>26</v>
      </c>
      <c r="H272" s="95">
        <v>2.6</v>
      </c>
      <c r="I272" s="22" t="s">
        <v>530</v>
      </c>
      <c r="J272" s="109" t="s">
        <v>317</v>
      </c>
      <c r="K272" s="55"/>
      <c r="L272" s="125" t="s">
        <v>848</v>
      </c>
      <c r="M272" s="96"/>
      <c r="N272" s="45" t="s">
        <v>849</v>
      </c>
      <c r="O272" s="23" t="s">
        <v>176</v>
      </c>
      <c r="P272" s="88">
        <v>1</v>
      </c>
      <c r="Q272" s="88">
        <v>2</v>
      </c>
      <c r="R272" s="66">
        <v>45402</v>
      </c>
      <c r="S272" s="54">
        <v>45406</v>
      </c>
      <c r="T272" s="45" t="s">
        <v>19</v>
      </c>
      <c r="U272" s="100">
        <v>2</v>
      </c>
      <c r="V272" s="108">
        <v>0</v>
      </c>
      <c r="W272" s="22" t="s">
        <v>40</v>
      </c>
      <c r="X272" s="88" t="str">
        <f t="shared" si="27"/>
        <v>1PEW2.6</v>
      </c>
      <c r="Y272" s="22" t="s">
        <v>32</v>
      </c>
      <c r="Z272" s="78"/>
    </row>
    <row r="273" spans="1:26" s="70" customFormat="1" ht="24.95" customHeight="1">
      <c r="A273" s="80"/>
      <c r="B273" s="99">
        <v>45383</v>
      </c>
      <c r="C273" s="135" t="s">
        <v>35</v>
      </c>
      <c r="D273" s="59" t="s">
        <v>20</v>
      </c>
      <c r="E273" s="14" t="str">
        <f t="shared" si="26"/>
        <v>V8A</v>
      </c>
      <c r="F273" s="111" t="s">
        <v>529</v>
      </c>
      <c r="G273" s="3" t="s">
        <v>26</v>
      </c>
      <c r="H273" s="95">
        <v>2.6</v>
      </c>
      <c r="I273" s="22" t="s">
        <v>530</v>
      </c>
      <c r="J273" s="109" t="s">
        <v>850</v>
      </c>
      <c r="K273" s="55"/>
      <c r="L273" s="125" t="s">
        <v>851</v>
      </c>
      <c r="M273" s="96"/>
      <c r="N273" s="45" t="s">
        <v>852</v>
      </c>
      <c r="O273" s="23" t="s">
        <v>853</v>
      </c>
      <c r="P273" s="88">
        <v>1</v>
      </c>
      <c r="Q273" s="88">
        <v>10</v>
      </c>
      <c r="R273" s="66">
        <v>45402</v>
      </c>
      <c r="S273" s="54">
        <v>45405</v>
      </c>
      <c r="T273" s="45" t="s">
        <v>19</v>
      </c>
      <c r="U273" s="100">
        <v>10</v>
      </c>
      <c r="V273" s="108">
        <v>0</v>
      </c>
      <c r="W273" s="22" t="s">
        <v>40</v>
      </c>
      <c r="X273" s="88" t="str">
        <f t="shared" si="27"/>
        <v>1PEW2.6</v>
      </c>
      <c r="Y273" s="22" t="s">
        <v>32</v>
      </c>
      <c r="Z273" s="78"/>
    </row>
    <row r="274" spans="1:26" s="70" customFormat="1" ht="24.95" customHeight="1">
      <c r="A274" s="80"/>
      <c r="B274" s="99">
        <v>45383</v>
      </c>
      <c r="C274" s="135" t="s">
        <v>35</v>
      </c>
      <c r="D274" s="59" t="s">
        <v>20</v>
      </c>
      <c r="E274" s="14" t="str">
        <f t="shared" si="26"/>
        <v>V8D</v>
      </c>
      <c r="F274" s="111" t="s">
        <v>529</v>
      </c>
      <c r="G274" s="15" t="s">
        <v>27</v>
      </c>
      <c r="H274" s="95">
        <v>1.1000000000000001</v>
      </c>
      <c r="I274" s="22" t="s">
        <v>530</v>
      </c>
      <c r="J274" s="109" t="s">
        <v>857</v>
      </c>
      <c r="K274" s="55" t="s">
        <v>858</v>
      </c>
      <c r="L274" s="125" t="s">
        <v>859</v>
      </c>
      <c r="M274" s="96"/>
      <c r="N274" s="45" t="s">
        <v>860</v>
      </c>
      <c r="O274" s="45" t="s">
        <v>861</v>
      </c>
      <c r="P274" s="45" t="s">
        <v>542</v>
      </c>
      <c r="Q274" s="88">
        <v>12</v>
      </c>
      <c r="R274" s="66">
        <v>45404</v>
      </c>
      <c r="S274" s="54">
        <v>45408</v>
      </c>
      <c r="T274" s="45" t="s">
        <v>19</v>
      </c>
      <c r="U274" s="100">
        <v>0</v>
      </c>
      <c r="V274" s="108">
        <v>12</v>
      </c>
      <c r="W274" s="22" t="s">
        <v>40</v>
      </c>
      <c r="X274" s="88" t="str">
        <f t="shared" si="27"/>
        <v>1PEW1.1</v>
      </c>
      <c r="Y274" s="22" t="s">
        <v>182</v>
      </c>
      <c r="Z274" s="78"/>
    </row>
    <row r="275" spans="1:26" s="70" customFormat="1" ht="24.95" customHeight="1">
      <c r="A275" s="80"/>
      <c r="B275" s="99">
        <v>45383</v>
      </c>
      <c r="C275" s="135" t="s">
        <v>35</v>
      </c>
      <c r="D275" s="59" t="s">
        <v>20</v>
      </c>
      <c r="E275" s="14" t="str">
        <f t="shared" si="26"/>
        <v>11B</v>
      </c>
      <c r="F275" s="111" t="s">
        <v>24</v>
      </c>
      <c r="G275" s="15" t="s">
        <v>27</v>
      </c>
      <c r="H275" s="95">
        <v>0.77</v>
      </c>
      <c r="I275" s="22" t="s">
        <v>206</v>
      </c>
      <c r="J275" s="109" t="s">
        <v>562</v>
      </c>
      <c r="K275" s="55" t="s">
        <v>862</v>
      </c>
      <c r="L275" s="125" t="s">
        <v>60</v>
      </c>
      <c r="M275" s="96"/>
      <c r="N275" s="45" t="s">
        <v>863</v>
      </c>
      <c r="O275" s="23" t="s">
        <v>39</v>
      </c>
      <c r="P275" s="88">
        <v>2</v>
      </c>
      <c r="Q275" s="88">
        <v>1</v>
      </c>
      <c r="R275" s="66">
        <v>45403</v>
      </c>
      <c r="S275" s="54">
        <v>45406</v>
      </c>
      <c r="T275" s="45" t="s">
        <v>19</v>
      </c>
      <c r="U275" s="100">
        <v>1</v>
      </c>
      <c r="V275" s="108">
        <v>0</v>
      </c>
      <c r="W275" s="22" t="s">
        <v>40</v>
      </c>
      <c r="X275" s="88" t="str">
        <f t="shared" si="27"/>
        <v>2PEW0.77</v>
      </c>
      <c r="Y275" s="22" t="s">
        <v>32</v>
      </c>
      <c r="Z275" s="78"/>
    </row>
    <row r="276" spans="1:26" s="70" customFormat="1" ht="24.95" customHeight="1">
      <c r="A276" s="80"/>
      <c r="B276" s="99">
        <v>45383</v>
      </c>
      <c r="C276" s="135" t="s">
        <v>35</v>
      </c>
      <c r="D276" s="59" t="s">
        <v>20</v>
      </c>
      <c r="E276" s="14" t="str">
        <f t="shared" si="26"/>
        <v>11A</v>
      </c>
      <c r="F276" s="111" t="s">
        <v>24</v>
      </c>
      <c r="G276" s="15" t="s">
        <v>27</v>
      </c>
      <c r="H276" s="95">
        <v>0.8</v>
      </c>
      <c r="I276" s="22" t="s">
        <v>28</v>
      </c>
      <c r="J276" s="109" t="s">
        <v>562</v>
      </c>
      <c r="K276" s="55" t="s">
        <v>864</v>
      </c>
      <c r="L276" s="125" t="s">
        <v>865</v>
      </c>
      <c r="M276" s="96"/>
      <c r="N276" s="45" t="s">
        <v>866</v>
      </c>
      <c r="O276" s="23" t="s">
        <v>867</v>
      </c>
      <c r="P276" s="88">
        <v>5</v>
      </c>
      <c r="Q276" s="88">
        <v>2</v>
      </c>
      <c r="R276" s="66">
        <v>45384</v>
      </c>
      <c r="S276" s="54">
        <v>45405</v>
      </c>
      <c r="T276" s="45" t="s">
        <v>19</v>
      </c>
      <c r="U276" s="100">
        <v>2</v>
      </c>
      <c r="V276" s="108">
        <v>0</v>
      </c>
      <c r="W276" s="22" t="s">
        <v>40</v>
      </c>
      <c r="X276" s="88" t="str">
        <f t="shared" si="27"/>
        <v>2PEW0.8</v>
      </c>
      <c r="Y276" s="22" t="s">
        <v>32</v>
      </c>
      <c r="Z276" s="78"/>
    </row>
    <row r="277" spans="1:26" s="70" customFormat="1" ht="24.95" customHeight="1">
      <c r="A277" s="80"/>
      <c r="B277" s="99">
        <v>45383</v>
      </c>
      <c r="C277" s="135" t="s">
        <v>35</v>
      </c>
      <c r="D277" s="59" t="s">
        <v>20</v>
      </c>
      <c r="E277" s="14" t="str">
        <f t="shared" si="26"/>
        <v>V9A</v>
      </c>
      <c r="F277" s="111" t="s">
        <v>23</v>
      </c>
      <c r="G277" s="3" t="s">
        <v>26</v>
      </c>
      <c r="H277" s="95">
        <v>0.95</v>
      </c>
      <c r="I277" s="22" t="s">
        <v>25</v>
      </c>
      <c r="J277" s="109" t="s">
        <v>317</v>
      </c>
      <c r="K277" s="55"/>
      <c r="L277" s="125"/>
      <c r="M277" s="96"/>
      <c r="N277" s="45" t="s">
        <v>868</v>
      </c>
      <c r="O277" s="23" t="s">
        <v>30</v>
      </c>
      <c r="P277" s="45" t="s">
        <v>869</v>
      </c>
      <c r="Q277" s="88">
        <v>2</v>
      </c>
      <c r="R277" s="66">
        <v>45401</v>
      </c>
      <c r="S277" s="54">
        <v>45404</v>
      </c>
      <c r="T277" s="45" t="s">
        <v>19</v>
      </c>
      <c r="U277" s="100">
        <v>2</v>
      </c>
      <c r="V277" s="108">
        <v>0</v>
      </c>
      <c r="W277" s="22" t="s">
        <v>40</v>
      </c>
      <c r="X277" s="88" t="str">
        <f t="shared" si="27"/>
        <v>0FBWSHC0.95</v>
      </c>
      <c r="Y277" s="22" t="s">
        <v>32</v>
      </c>
      <c r="Z277" s="78"/>
    </row>
    <row r="278" spans="1:26" s="70" customFormat="1" ht="24.95" customHeight="1">
      <c r="A278" s="80"/>
      <c r="B278" s="99">
        <v>45383</v>
      </c>
      <c r="C278" s="135" t="s">
        <v>35</v>
      </c>
      <c r="D278" s="59" t="s">
        <v>20</v>
      </c>
      <c r="E278" s="14" t="str">
        <f t="shared" si="26"/>
        <v>11A</v>
      </c>
      <c r="F278" s="111" t="s">
        <v>251</v>
      </c>
      <c r="G278" s="15" t="s">
        <v>27</v>
      </c>
      <c r="H278" s="95">
        <v>0.83</v>
      </c>
      <c r="I278" s="22" t="s">
        <v>252</v>
      </c>
      <c r="J278" s="109" t="s">
        <v>47</v>
      </c>
      <c r="K278" s="55" t="s">
        <v>870</v>
      </c>
      <c r="L278" s="125" t="s">
        <v>871</v>
      </c>
      <c r="M278" s="96"/>
      <c r="N278" s="45" t="s">
        <v>872</v>
      </c>
      <c r="O278" s="23" t="s">
        <v>39</v>
      </c>
      <c r="P278" s="88">
        <v>4</v>
      </c>
      <c r="Q278" s="88">
        <v>1</v>
      </c>
      <c r="R278" s="66">
        <v>45405</v>
      </c>
      <c r="S278" s="54">
        <v>45412</v>
      </c>
      <c r="T278" s="45" t="s">
        <v>19</v>
      </c>
      <c r="U278" s="100">
        <v>1</v>
      </c>
      <c r="V278" s="108">
        <v>0</v>
      </c>
      <c r="W278" s="22" t="s">
        <v>40</v>
      </c>
      <c r="X278" s="88" t="str">
        <f t="shared" si="27"/>
        <v>D2-IDW-4E0.83</v>
      </c>
      <c r="Y278" s="22" t="s">
        <v>32</v>
      </c>
      <c r="Z278" s="78"/>
    </row>
    <row r="279" spans="1:26" s="70" customFormat="1" ht="24.95" customHeight="1">
      <c r="A279" s="80"/>
      <c r="B279" s="99">
        <v>45383</v>
      </c>
      <c r="C279" s="135" t="s">
        <v>35</v>
      </c>
      <c r="D279" s="59" t="s">
        <v>20</v>
      </c>
      <c r="E279" s="14" t="str">
        <f t="shared" si="26"/>
        <v>11A</v>
      </c>
      <c r="F279" s="111" t="s">
        <v>251</v>
      </c>
      <c r="G279" s="15" t="s">
        <v>27</v>
      </c>
      <c r="H279" s="95">
        <v>0.83</v>
      </c>
      <c r="I279" s="22" t="s">
        <v>252</v>
      </c>
      <c r="J279" s="109" t="s">
        <v>873</v>
      </c>
      <c r="K279" s="55" t="s">
        <v>831</v>
      </c>
      <c r="L279" s="125"/>
      <c r="M279" s="96"/>
      <c r="N279" s="45" t="s">
        <v>874</v>
      </c>
      <c r="O279" s="23" t="s">
        <v>30</v>
      </c>
      <c r="P279" s="45" t="s">
        <v>662</v>
      </c>
      <c r="Q279" s="88">
        <v>5</v>
      </c>
      <c r="R279" s="66">
        <v>45401</v>
      </c>
      <c r="S279" s="54">
        <v>45411</v>
      </c>
      <c r="T279" s="45" t="s">
        <v>19</v>
      </c>
      <c r="U279" s="100">
        <v>5</v>
      </c>
      <c r="V279" s="108">
        <v>0</v>
      </c>
      <c r="W279" s="22" t="s">
        <v>40</v>
      </c>
      <c r="X279" s="88" t="str">
        <f t="shared" si="27"/>
        <v>D2-IDW-4E0.83</v>
      </c>
      <c r="Y279" s="22" t="s">
        <v>32</v>
      </c>
      <c r="Z279" s="78"/>
    </row>
    <row r="280" spans="1:26" s="70" customFormat="1" ht="24.95" customHeight="1">
      <c r="A280" s="80"/>
      <c r="B280" s="99">
        <v>45383</v>
      </c>
      <c r="C280" s="135" t="s">
        <v>35</v>
      </c>
      <c r="D280" s="59" t="s">
        <v>20</v>
      </c>
      <c r="E280" s="14" t="str">
        <f t="shared" si="26"/>
        <v>12A</v>
      </c>
      <c r="F280" s="111" t="s">
        <v>165</v>
      </c>
      <c r="G280" s="15" t="s">
        <v>27</v>
      </c>
      <c r="H280" s="95">
        <v>1.81</v>
      </c>
      <c r="I280" s="22" t="s">
        <v>329</v>
      </c>
      <c r="J280" s="109" t="s">
        <v>875</v>
      </c>
      <c r="K280" s="55" t="s">
        <v>831</v>
      </c>
      <c r="L280" s="125" t="s">
        <v>809</v>
      </c>
      <c r="M280" s="96"/>
      <c r="N280" s="45" t="s">
        <v>876</v>
      </c>
      <c r="O280" s="23" t="s">
        <v>30</v>
      </c>
      <c r="P280" s="88">
        <v>4.5</v>
      </c>
      <c r="Q280" s="88">
        <v>2</v>
      </c>
      <c r="R280" s="66">
        <v>45408</v>
      </c>
      <c r="S280" s="54">
        <v>45412</v>
      </c>
      <c r="T280" s="45" t="s">
        <v>19</v>
      </c>
      <c r="U280" s="100">
        <v>2</v>
      </c>
      <c r="V280" s="108">
        <v>0</v>
      </c>
      <c r="W280" s="22" t="s">
        <v>40</v>
      </c>
      <c r="X280" s="88" t="str">
        <f t="shared" si="27"/>
        <v>2EIWAD-O1.81</v>
      </c>
      <c r="Y280" s="22" t="s">
        <v>32</v>
      </c>
      <c r="Z280" s="78"/>
    </row>
    <row r="281" spans="1:26" s="70" customFormat="1" ht="24.95" customHeight="1">
      <c r="A281" s="80"/>
      <c r="B281" s="99">
        <v>45383</v>
      </c>
      <c r="C281" s="135" t="s">
        <v>35</v>
      </c>
      <c r="D281" s="59" t="s">
        <v>20</v>
      </c>
      <c r="E281" s="14" t="str">
        <f t="shared" si="26"/>
        <v>V6B</v>
      </c>
      <c r="F281" s="111" t="s">
        <v>165</v>
      </c>
      <c r="G281" s="3" t="s">
        <v>26</v>
      </c>
      <c r="H281" s="95">
        <v>1.81</v>
      </c>
      <c r="I281" s="22" t="s">
        <v>28</v>
      </c>
      <c r="J281" s="109" t="s">
        <v>877</v>
      </c>
      <c r="K281" s="55" t="s">
        <v>878</v>
      </c>
      <c r="L281" s="125" t="s">
        <v>879</v>
      </c>
      <c r="M281" s="96"/>
      <c r="N281" s="45" t="s">
        <v>880</v>
      </c>
      <c r="O281" s="23" t="s">
        <v>30</v>
      </c>
      <c r="P281" s="88">
        <v>6</v>
      </c>
      <c r="Q281" s="88">
        <v>1</v>
      </c>
      <c r="R281" s="66">
        <v>45409</v>
      </c>
      <c r="S281" s="54">
        <v>45412</v>
      </c>
      <c r="T281" s="45" t="s">
        <v>19</v>
      </c>
      <c r="U281" s="100">
        <v>1</v>
      </c>
      <c r="V281" s="108">
        <v>0</v>
      </c>
      <c r="W281" s="22" t="s">
        <v>40</v>
      </c>
      <c r="X281" s="88" t="str">
        <f t="shared" si="27"/>
        <v>2EIWAD-O1.81</v>
      </c>
      <c r="Y281" s="22" t="s">
        <v>32</v>
      </c>
      <c r="Z281" s="78"/>
    </row>
    <row r="282" spans="1:26" s="70" customFormat="1" ht="24.95" customHeight="1">
      <c r="A282" s="80"/>
      <c r="B282" s="99">
        <v>45383</v>
      </c>
      <c r="C282" s="135" t="s">
        <v>35</v>
      </c>
      <c r="D282" s="59" t="s">
        <v>20</v>
      </c>
      <c r="E282" s="14" t="str">
        <f t="shared" si="26"/>
        <v>V9A</v>
      </c>
      <c r="F282" s="111" t="s">
        <v>23</v>
      </c>
      <c r="G282" s="3" t="s">
        <v>26</v>
      </c>
      <c r="H282" s="95">
        <v>0.95</v>
      </c>
      <c r="I282" s="22" t="s">
        <v>25</v>
      </c>
      <c r="J282" s="109" t="s">
        <v>881</v>
      </c>
      <c r="K282" s="55" t="s">
        <v>882</v>
      </c>
      <c r="L282" s="125" t="s">
        <v>883</v>
      </c>
      <c r="M282" s="96"/>
      <c r="N282" s="45" t="s">
        <v>884</v>
      </c>
      <c r="O282" s="23" t="s">
        <v>30</v>
      </c>
      <c r="P282" s="88">
        <v>1.2</v>
      </c>
      <c r="Q282" s="88">
        <v>2</v>
      </c>
      <c r="R282" s="66">
        <v>45406</v>
      </c>
      <c r="S282" s="54">
        <v>45412</v>
      </c>
      <c r="T282" s="45" t="s">
        <v>19</v>
      </c>
      <c r="U282" s="100">
        <v>2</v>
      </c>
      <c r="V282" s="108">
        <v>0</v>
      </c>
      <c r="W282" s="22" t="s">
        <v>40</v>
      </c>
      <c r="X282" s="88" t="str">
        <f t="shared" si="27"/>
        <v>0FBWSHC0.95</v>
      </c>
      <c r="Y282" s="22" t="s">
        <v>32</v>
      </c>
      <c r="Z282" s="78"/>
    </row>
    <row r="283" spans="1:26" s="70" customFormat="1" ht="24.95" customHeight="1">
      <c r="A283" s="80"/>
      <c r="B283" s="99">
        <v>45383</v>
      </c>
      <c r="C283" s="135" t="s">
        <v>35</v>
      </c>
      <c r="D283" s="59" t="s">
        <v>20</v>
      </c>
      <c r="E283" s="14" t="str">
        <f t="shared" si="26"/>
        <v>12A</v>
      </c>
      <c r="F283" s="111" t="s">
        <v>165</v>
      </c>
      <c r="G283" s="15" t="s">
        <v>27</v>
      </c>
      <c r="H283" s="95">
        <v>1.81</v>
      </c>
      <c r="I283" s="22" t="s">
        <v>329</v>
      </c>
      <c r="J283" s="109" t="s">
        <v>885</v>
      </c>
      <c r="K283" s="55" t="s">
        <v>831</v>
      </c>
      <c r="L283" s="125" t="s">
        <v>809</v>
      </c>
      <c r="M283" s="96"/>
      <c r="N283" s="45" t="s">
        <v>886</v>
      </c>
      <c r="O283" s="23" t="s">
        <v>29</v>
      </c>
      <c r="P283" s="45" t="s">
        <v>298</v>
      </c>
      <c r="Q283" s="88">
        <v>4</v>
      </c>
      <c r="R283" s="66">
        <v>45411</v>
      </c>
      <c r="S283" s="54">
        <v>45412</v>
      </c>
      <c r="T283" s="45" t="s">
        <v>19</v>
      </c>
      <c r="U283" s="100">
        <v>4</v>
      </c>
      <c r="V283" s="108">
        <v>0</v>
      </c>
      <c r="W283" s="22" t="s">
        <v>40</v>
      </c>
      <c r="X283" s="88" t="str">
        <f t="shared" si="27"/>
        <v>2EIWAD-O1.81</v>
      </c>
      <c r="Y283" s="22" t="s">
        <v>32</v>
      </c>
      <c r="Z283" s="78"/>
    </row>
    <row r="284" spans="1:26" s="70" customFormat="1" ht="24.95" customHeight="1">
      <c r="A284" s="80"/>
      <c r="B284" s="99">
        <v>45383</v>
      </c>
      <c r="C284" s="135" t="s">
        <v>35</v>
      </c>
      <c r="D284" s="59" t="s">
        <v>20</v>
      </c>
      <c r="E284" s="14" t="str">
        <f t="shared" si="26"/>
        <v>V8C</v>
      </c>
      <c r="F284" s="111" t="s">
        <v>719</v>
      </c>
      <c r="G284" s="15" t="s">
        <v>27</v>
      </c>
      <c r="H284" s="95">
        <v>1.1499999999999999</v>
      </c>
      <c r="I284" s="22" t="s">
        <v>252</v>
      </c>
      <c r="J284" s="109" t="s">
        <v>887</v>
      </c>
      <c r="K284" s="55" t="s">
        <v>888</v>
      </c>
      <c r="L284" s="125" t="s">
        <v>889</v>
      </c>
      <c r="M284" s="96"/>
      <c r="N284" s="45" t="s">
        <v>890</v>
      </c>
      <c r="O284" s="23"/>
      <c r="P284" s="88">
        <v>2.2999999999999998</v>
      </c>
      <c r="Q284" s="88">
        <v>2</v>
      </c>
      <c r="R284" s="66">
        <v>45411</v>
      </c>
      <c r="S284" s="54">
        <v>45412</v>
      </c>
      <c r="T284" s="45" t="s">
        <v>19</v>
      </c>
      <c r="U284" s="100">
        <v>2</v>
      </c>
      <c r="V284" s="108">
        <v>0</v>
      </c>
      <c r="W284" s="22" t="s">
        <v>40</v>
      </c>
      <c r="X284" s="88" t="str">
        <f t="shared" si="27"/>
        <v>D1-IDW-41.15</v>
      </c>
      <c r="Y284" s="22" t="s">
        <v>32</v>
      </c>
      <c r="Z284" s="78"/>
    </row>
    <row r="285" spans="1:26" s="70" customFormat="1" ht="24.95" customHeight="1">
      <c r="A285" s="80"/>
      <c r="B285" s="99">
        <v>45383</v>
      </c>
      <c r="C285" s="135" t="s">
        <v>35</v>
      </c>
      <c r="D285" s="59" t="s">
        <v>20</v>
      </c>
      <c r="E285" s="14" t="str">
        <f t="shared" si="26"/>
        <v>V9B</v>
      </c>
      <c r="F285" s="111" t="s">
        <v>23</v>
      </c>
      <c r="G285" s="3" t="s">
        <v>26</v>
      </c>
      <c r="H285" s="95">
        <v>1.2</v>
      </c>
      <c r="I285" s="22" t="s">
        <v>25</v>
      </c>
      <c r="J285" s="109" t="s">
        <v>772</v>
      </c>
      <c r="K285" s="55" t="s">
        <v>892</v>
      </c>
      <c r="L285" s="125" t="s">
        <v>891</v>
      </c>
      <c r="M285" s="96"/>
      <c r="N285" s="45" t="s">
        <v>893</v>
      </c>
      <c r="O285" s="23" t="s">
        <v>39</v>
      </c>
      <c r="P285" s="45" t="s">
        <v>349</v>
      </c>
      <c r="Q285" s="88">
        <v>7</v>
      </c>
      <c r="R285" s="66">
        <v>45412</v>
      </c>
      <c r="S285" s="54">
        <v>45412</v>
      </c>
      <c r="T285" s="45" t="s">
        <v>19</v>
      </c>
      <c r="U285" s="100">
        <v>7</v>
      </c>
      <c r="V285" s="108">
        <v>0</v>
      </c>
      <c r="W285" s="22" t="s">
        <v>40</v>
      </c>
      <c r="X285" s="88" t="str">
        <f t="shared" si="27"/>
        <v>0FBWSHC1.2</v>
      </c>
      <c r="Y285" s="22" t="s">
        <v>32</v>
      </c>
      <c r="Z285" s="78"/>
    </row>
    <row r="286" spans="1:26" s="70" customFormat="1" ht="24.95" customHeight="1">
      <c r="A286" s="80"/>
      <c r="B286" s="99">
        <v>45383</v>
      </c>
      <c r="C286" s="135" t="s">
        <v>35</v>
      </c>
      <c r="D286" s="59" t="s">
        <v>20</v>
      </c>
      <c r="E286" s="14" t="str">
        <f t="shared" si="26"/>
        <v>12A</v>
      </c>
      <c r="F286" s="111" t="s">
        <v>165</v>
      </c>
      <c r="G286" s="15" t="s">
        <v>27</v>
      </c>
      <c r="H286" s="95">
        <v>1.81</v>
      </c>
      <c r="I286" s="22" t="s">
        <v>329</v>
      </c>
      <c r="J286" s="109" t="s">
        <v>894</v>
      </c>
      <c r="K286" s="55"/>
      <c r="L286" s="125" t="s">
        <v>420</v>
      </c>
      <c r="M286" s="96"/>
      <c r="N286" s="45" t="s">
        <v>895</v>
      </c>
      <c r="O286" s="23" t="s">
        <v>30</v>
      </c>
      <c r="P286" s="88">
        <v>4</v>
      </c>
      <c r="Q286" s="88">
        <v>1</v>
      </c>
      <c r="R286" s="66">
        <v>45405</v>
      </c>
      <c r="S286" s="54">
        <v>45407</v>
      </c>
      <c r="T286" s="45" t="s">
        <v>19</v>
      </c>
      <c r="U286" s="100">
        <v>1</v>
      </c>
      <c r="V286" s="108">
        <v>0</v>
      </c>
      <c r="W286" s="22" t="s">
        <v>40</v>
      </c>
      <c r="X286" s="88" t="str">
        <f t="shared" si="27"/>
        <v>2EIWAD-O1.81</v>
      </c>
      <c r="Y286" s="22" t="s">
        <v>32</v>
      </c>
      <c r="Z286" s="78"/>
    </row>
    <row r="287" spans="1:26" s="70" customFormat="1" ht="24.95" customHeight="1">
      <c r="A287" s="80"/>
      <c r="B287" s="99">
        <v>45383</v>
      </c>
      <c r="C287" s="135" t="s">
        <v>35</v>
      </c>
      <c r="D287" s="59" t="s">
        <v>20</v>
      </c>
      <c r="E287" s="14" t="str">
        <f t="shared" si="26"/>
        <v>V6A</v>
      </c>
      <c r="F287" s="111" t="s">
        <v>186</v>
      </c>
      <c r="G287" s="15" t="s">
        <v>27</v>
      </c>
      <c r="H287" s="95">
        <v>1.18</v>
      </c>
      <c r="I287" s="22" t="s">
        <v>187</v>
      </c>
      <c r="J287" s="109" t="s">
        <v>896</v>
      </c>
      <c r="K287" s="55" t="s">
        <v>831</v>
      </c>
      <c r="L287" s="125" t="s">
        <v>60</v>
      </c>
      <c r="M287" s="96"/>
      <c r="N287" s="45" t="s">
        <v>897</v>
      </c>
      <c r="O287" s="23" t="s">
        <v>30</v>
      </c>
      <c r="P287" s="45" t="s">
        <v>38</v>
      </c>
      <c r="Q287" s="88">
        <v>5</v>
      </c>
      <c r="R287" s="66">
        <v>45411</v>
      </c>
      <c r="S287" s="54">
        <v>45412</v>
      </c>
      <c r="T287" s="45" t="s">
        <v>19</v>
      </c>
      <c r="U287" s="100">
        <v>5</v>
      </c>
      <c r="V287" s="108">
        <v>0</v>
      </c>
      <c r="W287" s="22" t="s">
        <v>40</v>
      </c>
      <c r="X287" s="88" t="str">
        <f t="shared" si="27"/>
        <v>1HGZ-MA1.18</v>
      </c>
      <c r="Y287" s="22" t="s">
        <v>32</v>
      </c>
      <c r="Z287" s="78"/>
    </row>
    <row r="288" spans="1:26" s="70" customFormat="1" ht="24.95" customHeight="1">
      <c r="A288" s="80"/>
      <c r="B288" s="99">
        <v>45383</v>
      </c>
      <c r="C288" s="135" t="s">
        <v>35</v>
      </c>
      <c r="D288" s="59" t="s">
        <v>20</v>
      </c>
      <c r="E288" s="14" t="str">
        <f t="shared" si="26"/>
        <v>12A</v>
      </c>
      <c r="F288" s="111" t="s">
        <v>165</v>
      </c>
      <c r="G288" s="3" t="s">
        <v>26</v>
      </c>
      <c r="H288" s="95">
        <v>1.81</v>
      </c>
      <c r="I288" s="22" t="s">
        <v>329</v>
      </c>
      <c r="J288" s="109" t="s">
        <v>162</v>
      </c>
      <c r="K288" s="55"/>
      <c r="L288" s="125" t="s">
        <v>420</v>
      </c>
      <c r="M288" s="96"/>
      <c r="N288" s="45" t="s">
        <v>898</v>
      </c>
      <c r="O288" s="23" t="s">
        <v>29</v>
      </c>
      <c r="P288" s="88">
        <v>4</v>
      </c>
      <c r="Q288" s="88">
        <v>1</v>
      </c>
      <c r="R288" s="66">
        <v>45405</v>
      </c>
      <c r="S288" s="54">
        <v>45411</v>
      </c>
      <c r="T288" s="45" t="s">
        <v>19</v>
      </c>
      <c r="U288" s="100">
        <v>1</v>
      </c>
      <c r="V288" s="108">
        <v>0</v>
      </c>
      <c r="W288" s="22" t="s">
        <v>40</v>
      </c>
      <c r="X288" s="88" t="str">
        <f t="shared" si="27"/>
        <v>2EIWAD-O1.81</v>
      </c>
      <c r="Y288" s="22" t="s">
        <v>32</v>
      </c>
      <c r="Z288" s="78"/>
    </row>
    <row r="289" spans="1:26" s="70" customFormat="1" ht="24.95" customHeight="1">
      <c r="A289" s="80"/>
      <c r="B289" s="99">
        <v>45383</v>
      </c>
      <c r="C289" s="135" t="s">
        <v>35</v>
      </c>
      <c r="D289" s="59" t="s">
        <v>20</v>
      </c>
      <c r="E289" s="14" t="str">
        <f t="shared" si="26"/>
        <v>12A</v>
      </c>
      <c r="F289" s="111" t="s">
        <v>165</v>
      </c>
      <c r="G289" s="15" t="s">
        <v>27</v>
      </c>
      <c r="H289" s="95">
        <v>1.81</v>
      </c>
      <c r="I289" s="22" t="s">
        <v>329</v>
      </c>
      <c r="J289" s="109" t="s">
        <v>899</v>
      </c>
      <c r="K289" s="55" t="s">
        <v>341</v>
      </c>
      <c r="L289" s="125" t="s">
        <v>809</v>
      </c>
      <c r="M289" s="96"/>
      <c r="N289" s="45" t="s">
        <v>900</v>
      </c>
      <c r="O289" s="23" t="s">
        <v>29</v>
      </c>
      <c r="P289" s="88">
        <v>3</v>
      </c>
      <c r="Q289" s="88">
        <v>1</v>
      </c>
      <c r="R289" s="66">
        <v>45410</v>
      </c>
      <c r="S289" s="54">
        <v>45412</v>
      </c>
      <c r="T289" s="45" t="s">
        <v>19</v>
      </c>
      <c r="U289" s="100">
        <v>1</v>
      </c>
      <c r="V289" s="108">
        <v>0</v>
      </c>
      <c r="W289" s="22" t="s">
        <v>40</v>
      </c>
      <c r="X289" s="88" t="str">
        <f t="shared" si="27"/>
        <v>2EIWAD-O1.81</v>
      </c>
      <c r="Y289" s="22" t="s">
        <v>32</v>
      </c>
      <c r="Z289" s="78"/>
    </row>
    <row r="290" spans="1:26" s="70" customFormat="1" ht="24.95" customHeight="1">
      <c r="A290" s="80"/>
      <c r="B290" s="99">
        <v>45383</v>
      </c>
      <c r="C290" s="135" t="s">
        <v>35</v>
      </c>
      <c r="D290" s="59" t="s">
        <v>20</v>
      </c>
      <c r="E290" s="14" t="str">
        <f t="shared" si="26"/>
        <v>12A</v>
      </c>
      <c r="F290" s="111" t="s">
        <v>165</v>
      </c>
      <c r="G290" s="15" t="s">
        <v>27</v>
      </c>
      <c r="H290" s="95">
        <v>1.81</v>
      </c>
      <c r="I290" s="22" t="s">
        <v>329</v>
      </c>
      <c r="J290" s="109" t="s">
        <v>901</v>
      </c>
      <c r="K290" s="55" t="s">
        <v>831</v>
      </c>
      <c r="L290" s="125" t="s">
        <v>60</v>
      </c>
      <c r="M290" s="96"/>
      <c r="N290" s="45" t="s">
        <v>876</v>
      </c>
      <c r="O290" s="23" t="s">
        <v>30</v>
      </c>
      <c r="P290" s="88">
        <v>2</v>
      </c>
      <c r="Q290" s="88">
        <v>1</v>
      </c>
      <c r="R290" s="66">
        <v>45408</v>
      </c>
      <c r="S290" s="54">
        <v>45412</v>
      </c>
      <c r="T290" s="45" t="s">
        <v>19</v>
      </c>
      <c r="U290" s="100">
        <v>1</v>
      </c>
      <c r="V290" s="108">
        <v>0</v>
      </c>
      <c r="W290" s="22" t="s">
        <v>40</v>
      </c>
      <c r="X290" s="88" t="str">
        <f t="shared" si="27"/>
        <v>2EIWAD-O1.81</v>
      </c>
      <c r="Y290" s="22" t="s">
        <v>32</v>
      </c>
      <c r="Z290" s="78"/>
    </row>
    <row r="291" spans="1:26" s="70" customFormat="1" ht="24.95" customHeight="1">
      <c r="A291" s="80"/>
      <c r="B291" s="99">
        <v>45383</v>
      </c>
      <c r="C291" s="135" t="s">
        <v>35</v>
      </c>
      <c r="D291" s="59" t="s">
        <v>20</v>
      </c>
      <c r="E291" s="14" t="str">
        <f t="shared" si="26"/>
        <v>12A</v>
      </c>
      <c r="F291" s="111" t="s">
        <v>165</v>
      </c>
      <c r="G291" s="15" t="s">
        <v>27</v>
      </c>
      <c r="H291" s="95">
        <v>1.81</v>
      </c>
      <c r="I291" s="22" t="s">
        <v>329</v>
      </c>
      <c r="J291" s="109" t="s">
        <v>902</v>
      </c>
      <c r="K291" s="55" t="s">
        <v>903</v>
      </c>
      <c r="L291" s="125" t="s">
        <v>904</v>
      </c>
      <c r="M291" s="96"/>
      <c r="N291" s="45" t="s">
        <v>895</v>
      </c>
      <c r="O291" s="23" t="s">
        <v>29</v>
      </c>
      <c r="P291" s="88">
        <v>5</v>
      </c>
      <c r="Q291" s="88">
        <v>1</v>
      </c>
      <c r="R291" s="66">
        <v>45406</v>
      </c>
      <c r="S291" s="54">
        <v>45412</v>
      </c>
      <c r="T291" s="45" t="s">
        <v>19</v>
      </c>
      <c r="U291" s="100">
        <v>1</v>
      </c>
      <c r="V291" s="108">
        <v>0</v>
      </c>
      <c r="W291" s="22" t="s">
        <v>40</v>
      </c>
      <c r="X291" s="88" t="str">
        <f t="shared" si="27"/>
        <v>2EIWAD-O1.81</v>
      </c>
      <c r="Y291" s="22" t="s">
        <v>32</v>
      </c>
      <c r="Z291" s="78"/>
    </row>
    <row r="292" spans="1:26" s="70" customFormat="1" ht="24.95" customHeight="1">
      <c r="A292" s="80"/>
      <c r="B292" s="99">
        <v>45383</v>
      </c>
      <c r="C292" s="135" t="s">
        <v>35</v>
      </c>
      <c r="D292" s="59" t="s">
        <v>20</v>
      </c>
      <c r="E292" s="14" t="str">
        <f t="shared" si="26"/>
        <v>12A</v>
      </c>
      <c r="F292" s="111" t="s">
        <v>165</v>
      </c>
      <c r="G292" s="3" t="s">
        <v>26</v>
      </c>
      <c r="H292" s="95">
        <v>1.81</v>
      </c>
      <c r="I292" s="22" t="s">
        <v>329</v>
      </c>
      <c r="J292" s="109" t="s">
        <v>905</v>
      </c>
      <c r="K292" s="55" t="s">
        <v>906</v>
      </c>
      <c r="L292" s="125"/>
      <c r="M292" s="96"/>
      <c r="N292" s="45" t="s">
        <v>895</v>
      </c>
      <c r="O292" s="23" t="s">
        <v>30</v>
      </c>
      <c r="P292" s="88">
        <v>2</v>
      </c>
      <c r="Q292" s="88">
        <v>1</v>
      </c>
      <c r="R292" s="66">
        <v>45406</v>
      </c>
      <c r="S292" s="54">
        <v>45412</v>
      </c>
      <c r="T292" s="45" t="s">
        <v>19</v>
      </c>
      <c r="U292" s="100">
        <v>1</v>
      </c>
      <c r="V292" s="108">
        <v>0</v>
      </c>
      <c r="W292" s="22" t="s">
        <v>40</v>
      </c>
      <c r="X292" s="88" t="str">
        <f t="shared" si="27"/>
        <v>2EIWAD-O1.81</v>
      </c>
      <c r="Y292" s="22" t="s">
        <v>32</v>
      </c>
      <c r="Z292" s="78"/>
    </row>
    <row r="293" spans="1:26" s="70" customFormat="1" ht="24.95" customHeight="1">
      <c r="A293" s="80"/>
      <c r="B293" s="99">
        <v>45383</v>
      </c>
      <c r="C293" s="135" t="s">
        <v>35</v>
      </c>
      <c r="D293" s="59" t="s">
        <v>20</v>
      </c>
      <c r="E293" s="14" t="str">
        <f t="shared" ref="E293" si="28">IF(B288="","",LEFT(N293,3))</f>
        <v>V6B</v>
      </c>
      <c r="F293" s="111" t="s">
        <v>165</v>
      </c>
      <c r="G293" s="15" t="s">
        <v>27</v>
      </c>
      <c r="H293" s="111">
        <v>1.81</v>
      </c>
      <c r="I293" s="22" t="s">
        <v>28</v>
      </c>
      <c r="J293" s="21" t="s">
        <v>260</v>
      </c>
      <c r="K293" s="55" t="s">
        <v>827</v>
      </c>
      <c r="L293" s="125" t="s">
        <v>828</v>
      </c>
      <c r="M293" s="96"/>
      <c r="N293" s="45" t="s">
        <v>1043</v>
      </c>
      <c r="O293" s="23" t="s">
        <v>30</v>
      </c>
      <c r="P293" s="23" t="s">
        <v>1044</v>
      </c>
      <c r="Q293" s="88">
        <v>6</v>
      </c>
      <c r="R293" s="66">
        <v>45412</v>
      </c>
      <c r="S293" s="54">
        <v>45425</v>
      </c>
      <c r="T293" s="45" t="s">
        <v>19</v>
      </c>
      <c r="U293" s="100">
        <v>5</v>
      </c>
      <c r="V293" s="108">
        <v>1</v>
      </c>
      <c r="W293" s="22" t="s">
        <v>40</v>
      </c>
      <c r="X293" s="88" t="str">
        <f t="shared" ref="X293" si="29">F293&amp;H293</f>
        <v>2EIWAD-O1.81</v>
      </c>
      <c r="Y293" s="22" t="s">
        <v>1045</v>
      </c>
      <c r="Z293" s="78"/>
    </row>
    <row r="294" spans="1:26" s="70" customFormat="1" ht="24.95" customHeight="1">
      <c r="A294" s="80"/>
      <c r="B294" s="99">
        <v>45383</v>
      </c>
      <c r="C294" s="135" t="s">
        <v>51</v>
      </c>
      <c r="D294" s="22" t="s">
        <v>20</v>
      </c>
      <c r="E294" s="14" t="str">
        <f>IF(B288="","",LEFT(N294,3))</f>
        <v>H1A</v>
      </c>
      <c r="F294" s="111" t="s">
        <v>52</v>
      </c>
      <c r="G294" s="3" t="s">
        <v>26</v>
      </c>
      <c r="H294" s="95">
        <v>0.26</v>
      </c>
      <c r="I294" s="22" t="s">
        <v>43</v>
      </c>
      <c r="J294" s="109" t="s">
        <v>221</v>
      </c>
      <c r="K294" s="55"/>
      <c r="L294" s="125" t="s">
        <v>189</v>
      </c>
      <c r="M294" s="96"/>
      <c r="N294" s="45" t="s">
        <v>907</v>
      </c>
      <c r="O294" s="23" t="s">
        <v>30</v>
      </c>
      <c r="P294" s="88">
        <v>5</v>
      </c>
      <c r="Q294" s="88">
        <v>1</v>
      </c>
      <c r="R294" s="66">
        <v>45404</v>
      </c>
      <c r="S294" s="54">
        <v>45406</v>
      </c>
      <c r="T294" s="45" t="s">
        <v>19</v>
      </c>
      <c r="U294" s="100">
        <v>1</v>
      </c>
      <c r="V294" s="108">
        <v>0</v>
      </c>
      <c r="W294" s="22" t="s">
        <v>40</v>
      </c>
      <c r="X294" s="88" t="str">
        <f t="shared" si="27"/>
        <v>D2IDW4-B-20.26</v>
      </c>
      <c r="Y294" s="22" t="s">
        <v>32</v>
      </c>
      <c r="Z294" s="78"/>
    </row>
    <row r="295" spans="1:26" s="70" customFormat="1" ht="24.95" customHeight="1">
      <c r="A295" s="80"/>
      <c r="B295" s="99">
        <v>45383</v>
      </c>
      <c r="C295" s="135" t="s">
        <v>51</v>
      </c>
      <c r="D295" s="59" t="s">
        <v>20</v>
      </c>
      <c r="E295" s="14" t="str">
        <f>IF(B289="","",LEFT(N295,3))</f>
        <v>H1A</v>
      </c>
      <c r="F295" s="111" t="s">
        <v>52</v>
      </c>
      <c r="G295" s="3" t="s">
        <v>26</v>
      </c>
      <c r="H295" s="95">
        <v>0.26</v>
      </c>
      <c r="I295" s="22" t="s">
        <v>43</v>
      </c>
      <c r="J295" s="109" t="s">
        <v>908</v>
      </c>
      <c r="K295" s="55" t="s">
        <v>909</v>
      </c>
      <c r="L295" s="125" t="s">
        <v>467</v>
      </c>
      <c r="M295" s="96"/>
      <c r="N295" s="45" t="s">
        <v>910</v>
      </c>
      <c r="O295" s="23" t="s">
        <v>30</v>
      </c>
      <c r="P295" s="88">
        <v>5</v>
      </c>
      <c r="Q295" s="88">
        <v>1</v>
      </c>
      <c r="R295" s="66">
        <v>45401</v>
      </c>
      <c r="S295" s="54">
        <v>45406</v>
      </c>
      <c r="T295" s="45" t="s">
        <v>19</v>
      </c>
      <c r="U295" s="100">
        <v>1</v>
      </c>
      <c r="V295" s="108">
        <v>0</v>
      </c>
      <c r="W295" s="22" t="s">
        <v>40</v>
      </c>
      <c r="X295" s="88" t="str">
        <f t="shared" si="27"/>
        <v>D2IDW4-B-20.26</v>
      </c>
      <c r="Y295" s="22" t="s">
        <v>32</v>
      </c>
      <c r="Z295" s="78"/>
    </row>
    <row r="296" spans="1:26" s="70" customFormat="1" ht="24.95" customHeight="1">
      <c r="A296" s="80"/>
      <c r="B296" s="99">
        <v>45383</v>
      </c>
      <c r="C296" s="135" t="s">
        <v>51</v>
      </c>
      <c r="D296" s="59" t="s">
        <v>20</v>
      </c>
      <c r="E296" s="14" t="str">
        <f>IF(B290="","",LEFT(N296,3))</f>
        <v>H1A</v>
      </c>
      <c r="F296" s="111" t="s">
        <v>52</v>
      </c>
      <c r="G296" s="3" t="s">
        <v>26</v>
      </c>
      <c r="H296" s="95">
        <v>0.26</v>
      </c>
      <c r="I296" s="22" t="s">
        <v>43</v>
      </c>
      <c r="J296" s="109" t="s">
        <v>53</v>
      </c>
      <c r="K296" s="55" t="s">
        <v>909</v>
      </c>
      <c r="L296" s="125" t="s">
        <v>467</v>
      </c>
      <c r="M296" s="96"/>
      <c r="N296" s="45" t="s">
        <v>911</v>
      </c>
      <c r="O296" s="23" t="s">
        <v>30</v>
      </c>
      <c r="P296" s="88">
        <v>1</v>
      </c>
      <c r="Q296" s="88">
        <v>1</v>
      </c>
      <c r="R296" s="66">
        <v>45404</v>
      </c>
      <c r="S296" s="54">
        <v>45406</v>
      </c>
      <c r="T296" s="45" t="s">
        <v>19</v>
      </c>
      <c r="U296" s="100">
        <v>1</v>
      </c>
      <c r="V296" s="108">
        <v>0</v>
      </c>
      <c r="W296" s="22" t="s">
        <v>40</v>
      </c>
      <c r="X296" s="88" t="str">
        <f t="shared" si="27"/>
        <v>D2IDW4-B-20.26</v>
      </c>
      <c r="Y296" s="22" t="s">
        <v>32</v>
      </c>
      <c r="Z296" s="78"/>
    </row>
    <row r="297" spans="1:26" s="70" customFormat="1" ht="24.95" customHeight="1">
      <c r="A297" s="80"/>
      <c r="B297" s="99">
        <v>45383</v>
      </c>
      <c r="C297" s="135" t="s">
        <v>51</v>
      </c>
      <c r="D297" s="59" t="s">
        <v>20</v>
      </c>
      <c r="E297" s="14" t="str">
        <f>IF(B291="","",LEFT(N297,3))</f>
        <v>H1A</v>
      </c>
      <c r="F297" s="111" t="s">
        <v>52</v>
      </c>
      <c r="G297" s="3" t="s">
        <v>26</v>
      </c>
      <c r="H297" s="95">
        <v>0.26</v>
      </c>
      <c r="I297" s="22" t="s">
        <v>43</v>
      </c>
      <c r="J297" s="109" t="s">
        <v>53</v>
      </c>
      <c r="K297" s="55" t="s">
        <v>909</v>
      </c>
      <c r="L297" s="125" t="s">
        <v>912</v>
      </c>
      <c r="M297" s="96"/>
      <c r="N297" s="45" t="s">
        <v>910</v>
      </c>
      <c r="O297" s="23" t="s">
        <v>30</v>
      </c>
      <c r="P297" s="88">
        <v>1</v>
      </c>
      <c r="Q297" s="88">
        <v>1</v>
      </c>
      <c r="R297" s="54">
        <v>45400</v>
      </c>
      <c r="S297" s="54">
        <v>45406</v>
      </c>
      <c r="T297" s="45" t="s">
        <v>19</v>
      </c>
      <c r="U297" s="100">
        <v>1</v>
      </c>
      <c r="V297" s="108">
        <v>0</v>
      </c>
      <c r="W297" s="22" t="s">
        <v>40</v>
      </c>
      <c r="X297" s="88" t="str">
        <f t="shared" si="27"/>
        <v>D2IDW4-B-20.26</v>
      </c>
      <c r="Y297" s="22" t="s">
        <v>32</v>
      </c>
      <c r="Z297" s="78"/>
    </row>
    <row r="298" spans="1:26" s="70" customFormat="1" ht="24.95" customHeight="1">
      <c r="A298" s="80"/>
      <c r="B298" s="99">
        <v>45383</v>
      </c>
      <c r="C298" s="135" t="s">
        <v>51</v>
      </c>
      <c r="D298" s="59" t="s">
        <v>20</v>
      </c>
      <c r="E298" s="14" t="str">
        <f>IF(B292="","",LEFT(N298,3))</f>
        <v>H1B</v>
      </c>
      <c r="F298" s="111" t="s">
        <v>52</v>
      </c>
      <c r="G298" s="3" t="s">
        <v>26</v>
      </c>
      <c r="H298" s="95">
        <v>0.31</v>
      </c>
      <c r="I298" s="22" t="s">
        <v>31</v>
      </c>
      <c r="J298" s="109" t="s">
        <v>55</v>
      </c>
      <c r="K298" s="55" t="s">
        <v>913</v>
      </c>
      <c r="L298" s="125" t="s">
        <v>914</v>
      </c>
      <c r="M298" s="96"/>
      <c r="N298" s="45" t="s">
        <v>915</v>
      </c>
      <c r="O298" s="23" t="s">
        <v>30</v>
      </c>
      <c r="P298" s="45" t="s">
        <v>38</v>
      </c>
      <c r="Q298" s="88">
        <v>5</v>
      </c>
      <c r="R298" s="66">
        <v>45399</v>
      </c>
      <c r="S298" s="54">
        <v>45404</v>
      </c>
      <c r="T298" s="45" t="s">
        <v>19</v>
      </c>
      <c r="U298" s="100">
        <v>5</v>
      </c>
      <c r="V298" s="108">
        <v>0</v>
      </c>
      <c r="W298" s="22" t="s">
        <v>40</v>
      </c>
      <c r="X298" s="88" t="str">
        <f t="shared" si="27"/>
        <v>D2IDW4-B-20.31</v>
      </c>
      <c r="Y298" s="22" t="s">
        <v>32</v>
      </c>
      <c r="Z298" s="78"/>
    </row>
    <row r="299" spans="1:26" s="70" customFormat="1" ht="24.95" customHeight="1">
      <c r="A299" s="80"/>
      <c r="B299" s="99">
        <v>45383</v>
      </c>
      <c r="C299" s="135" t="s">
        <v>51</v>
      </c>
      <c r="D299" s="59" t="s">
        <v>20</v>
      </c>
      <c r="E299" s="14" t="str">
        <f t="shared" si="26"/>
        <v>H3B</v>
      </c>
      <c r="F299" s="111" t="s">
        <v>648</v>
      </c>
      <c r="G299" s="3" t="s">
        <v>26</v>
      </c>
      <c r="H299" s="95">
        <v>0.28999999999999998</v>
      </c>
      <c r="I299" s="22" t="s">
        <v>286</v>
      </c>
      <c r="J299" s="109" t="s">
        <v>221</v>
      </c>
      <c r="K299" s="55" t="s">
        <v>909</v>
      </c>
      <c r="L299" s="125" t="s">
        <v>467</v>
      </c>
      <c r="M299" s="96"/>
      <c r="N299" s="45" t="s">
        <v>916</v>
      </c>
      <c r="O299" s="23" t="s">
        <v>485</v>
      </c>
      <c r="P299" s="88">
        <v>1</v>
      </c>
      <c r="Q299" s="88">
        <v>3</v>
      </c>
      <c r="R299" s="66">
        <v>45400</v>
      </c>
      <c r="S299" s="54">
        <v>45404</v>
      </c>
      <c r="T299" s="45" t="s">
        <v>19</v>
      </c>
      <c r="U299" s="100">
        <v>3</v>
      </c>
      <c r="V299" s="108">
        <v>0</v>
      </c>
      <c r="W299" s="22" t="s">
        <v>40</v>
      </c>
      <c r="X299" s="88" t="str">
        <f t="shared" si="27"/>
        <v>1AIW0.29</v>
      </c>
      <c r="Y299" s="22" t="s">
        <v>32</v>
      </c>
      <c r="Z299" s="78"/>
    </row>
    <row r="300" spans="1:26" s="70" customFormat="1" ht="24.95" customHeight="1">
      <c r="A300" s="80"/>
      <c r="B300" s="99">
        <v>45383</v>
      </c>
      <c r="C300" s="135" t="s">
        <v>51</v>
      </c>
      <c r="D300" s="59" t="s">
        <v>20</v>
      </c>
      <c r="E300" s="14" t="str">
        <f t="shared" si="26"/>
        <v>H4B</v>
      </c>
      <c r="F300" s="111" t="s">
        <v>429</v>
      </c>
      <c r="G300" s="3" t="s">
        <v>26</v>
      </c>
      <c r="H300" s="95">
        <v>0.35</v>
      </c>
      <c r="I300" s="22" t="s">
        <v>917</v>
      </c>
      <c r="J300" s="109" t="s">
        <v>918</v>
      </c>
      <c r="K300" s="55" t="s">
        <v>919</v>
      </c>
      <c r="L300" s="125" t="s">
        <v>920</v>
      </c>
      <c r="M300" s="96"/>
      <c r="N300" s="45" t="s">
        <v>921</v>
      </c>
      <c r="O300" s="23" t="s">
        <v>485</v>
      </c>
      <c r="P300" s="88">
        <v>1</v>
      </c>
      <c r="Q300" s="88">
        <v>3</v>
      </c>
      <c r="R300" s="66">
        <v>45399</v>
      </c>
      <c r="S300" s="54">
        <v>45404</v>
      </c>
      <c r="T300" s="45" t="s">
        <v>19</v>
      </c>
      <c r="U300" s="100">
        <v>0</v>
      </c>
      <c r="V300" s="108">
        <v>3</v>
      </c>
      <c r="W300" s="22" t="s">
        <v>40</v>
      </c>
      <c r="X300" s="88" t="str">
        <f t="shared" si="27"/>
        <v>2-ATZ-3000.35</v>
      </c>
      <c r="Y300" s="22" t="s">
        <v>182</v>
      </c>
      <c r="Z300" s="78"/>
    </row>
    <row r="301" spans="1:26" s="70" customFormat="1" ht="24.95" customHeight="1">
      <c r="A301" s="80"/>
      <c r="B301" s="99">
        <v>45383</v>
      </c>
      <c r="C301" s="135" t="s">
        <v>51</v>
      </c>
      <c r="D301" s="59" t="s">
        <v>20</v>
      </c>
      <c r="E301" s="14" t="str">
        <f t="shared" si="26"/>
        <v>H1B</v>
      </c>
      <c r="F301" s="111" t="s">
        <v>52</v>
      </c>
      <c r="G301" s="3" t="s">
        <v>26</v>
      </c>
      <c r="H301" s="95">
        <v>0.26</v>
      </c>
      <c r="I301" s="22" t="s">
        <v>43</v>
      </c>
      <c r="J301" s="109" t="s">
        <v>922</v>
      </c>
      <c r="K301" s="55" t="s">
        <v>923</v>
      </c>
      <c r="L301" s="125" t="s">
        <v>924</v>
      </c>
      <c r="M301" s="96"/>
      <c r="N301" s="45" t="s">
        <v>925</v>
      </c>
      <c r="O301" s="23" t="s">
        <v>30</v>
      </c>
      <c r="P301" s="88">
        <v>1.2</v>
      </c>
      <c r="Q301" s="88">
        <v>2</v>
      </c>
      <c r="R301" s="66">
        <v>45409</v>
      </c>
      <c r="S301" s="54">
        <v>45411</v>
      </c>
      <c r="T301" s="45" t="s">
        <v>19</v>
      </c>
      <c r="U301" s="100">
        <v>2</v>
      </c>
      <c r="V301" s="108">
        <v>0</v>
      </c>
      <c r="W301" s="22" t="s">
        <v>40</v>
      </c>
      <c r="X301" s="88" t="str">
        <f t="shared" si="27"/>
        <v>D2IDW4-B-20.26</v>
      </c>
      <c r="Y301" s="22" t="s">
        <v>32</v>
      </c>
      <c r="Z301" s="78"/>
    </row>
    <row r="302" spans="1:26" s="70" customFormat="1" ht="24.95" customHeight="1">
      <c r="A302" s="80"/>
      <c r="B302" s="99">
        <v>45383</v>
      </c>
      <c r="C302" s="135" t="s">
        <v>51</v>
      </c>
      <c r="D302" s="59" t="s">
        <v>20</v>
      </c>
      <c r="E302" s="14" t="str">
        <f t="shared" si="26"/>
        <v>H1A</v>
      </c>
      <c r="F302" s="111" t="s">
        <v>52</v>
      </c>
      <c r="G302" s="3" t="s">
        <v>26</v>
      </c>
      <c r="H302" s="95">
        <v>0.26</v>
      </c>
      <c r="I302" s="22" t="s">
        <v>43</v>
      </c>
      <c r="J302" s="109" t="s">
        <v>221</v>
      </c>
      <c r="K302" s="55" t="s">
        <v>926</v>
      </c>
      <c r="L302" s="125" t="s">
        <v>927</v>
      </c>
      <c r="M302" s="96"/>
      <c r="N302" s="45" t="s">
        <v>928</v>
      </c>
      <c r="O302" s="23" t="s">
        <v>30</v>
      </c>
      <c r="P302" s="88">
        <v>5</v>
      </c>
      <c r="Q302" s="88">
        <v>1</v>
      </c>
      <c r="R302" s="66">
        <v>45405</v>
      </c>
      <c r="S302" s="54">
        <v>45411</v>
      </c>
      <c r="T302" s="45" t="s">
        <v>19</v>
      </c>
      <c r="U302" s="100">
        <v>1</v>
      </c>
      <c r="V302" s="108">
        <v>0</v>
      </c>
      <c r="W302" s="22" t="s">
        <v>40</v>
      </c>
      <c r="X302" s="88" t="str">
        <f t="shared" si="27"/>
        <v>D2IDW4-B-20.26</v>
      </c>
      <c r="Y302" s="22" t="s">
        <v>32</v>
      </c>
      <c r="Z302" s="78"/>
    </row>
    <row r="303" spans="1:26" s="70" customFormat="1" ht="24.95" customHeight="1">
      <c r="A303" s="72"/>
      <c r="B303" s="99">
        <v>45383</v>
      </c>
      <c r="C303" s="135" t="s">
        <v>51</v>
      </c>
      <c r="D303" s="59" t="s">
        <v>20</v>
      </c>
      <c r="E303" s="45" t="str">
        <f t="shared" si="26"/>
        <v>H4B</v>
      </c>
      <c r="F303" s="111" t="s">
        <v>429</v>
      </c>
      <c r="G303" s="3" t="s">
        <v>26</v>
      </c>
      <c r="H303" s="95">
        <v>0.42</v>
      </c>
      <c r="I303" s="22" t="s">
        <v>430</v>
      </c>
      <c r="J303" s="109" t="s">
        <v>929</v>
      </c>
      <c r="K303" s="55" t="s">
        <v>930</v>
      </c>
      <c r="L303" s="125" t="s">
        <v>931</v>
      </c>
      <c r="M303" s="96"/>
      <c r="N303" s="45" t="s">
        <v>932</v>
      </c>
      <c r="O303" s="23" t="s">
        <v>933</v>
      </c>
      <c r="P303" s="88">
        <v>1</v>
      </c>
      <c r="Q303" s="88">
        <v>5</v>
      </c>
      <c r="R303" s="66">
        <v>45408</v>
      </c>
      <c r="S303" s="54">
        <v>45411</v>
      </c>
      <c r="T303" s="45" t="s">
        <v>19</v>
      </c>
      <c r="U303" s="100">
        <v>5</v>
      </c>
      <c r="V303" s="108">
        <v>0</v>
      </c>
      <c r="W303" s="22" t="s">
        <v>40</v>
      </c>
      <c r="X303" s="88" t="str">
        <f t="shared" si="27"/>
        <v>2-ATZ-3000.42</v>
      </c>
      <c r="Y303" s="22" t="s">
        <v>32</v>
      </c>
      <c r="Z303" s="78"/>
    </row>
    <row r="304" spans="1:26" s="70" customFormat="1" ht="24.95" customHeight="1">
      <c r="A304" s="80"/>
      <c r="B304" s="99">
        <v>45383</v>
      </c>
      <c r="C304" s="135" t="s">
        <v>51</v>
      </c>
      <c r="D304" s="59" t="s">
        <v>20</v>
      </c>
      <c r="E304" s="14" t="str">
        <f t="shared" si="26"/>
        <v>H1B</v>
      </c>
      <c r="F304" s="111" t="s">
        <v>52</v>
      </c>
      <c r="G304" s="3" t="s">
        <v>26</v>
      </c>
      <c r="H304" s="95">
        <v>0.26</v>
      </c>
      <c r="I304" s="22" t="s">
        <v>43</v>
      </c>
      <c r="J304" s="109" t="s">
        <v>221</v>
      </c>
      <c r="K304" s="55" t="s">
        <v>934</v>
      </c>
      <c r="L304" s="125" t="s">
        <v>225</v>
      </c>
      <c r="M304" s="96"/>
      <c r="N304" s="45" t="s">
        <v>935</v>
      </c>
      <c r="O304" s="23" t="s">
        <v>30</v>
      </c>
      <c r="P304" s="88">
        <v>5</v>
      </c>
      <c r="Q304" s="88">
        <v>1</v>
      </c>
      <c r="R304" s="66">
        <v>45409</v>
      </c>
      <c r="S304" s="54">
        <v>45411</v>
      </c>
      <c r="T304" s="45" t="s">
        <v>19</v>
      </c>
      <c r="U304" s="100">
        <v>1</v>
      </c>
      <c r="V304" s="108">
        <v>0</v>
      </c>
      <c r="W304" s="22" t="s">
        <v>40</v>
      </c>
      <c r="X304" s="88" t="str">
        <f t="shared" si="27"/>
        <v>D2IDW4-B-20.26</v>
      </c>
      <c r="Y304" s="22" t="s">
        <v>32</v>
      </c>
      <c r="Z304" s="78"/>
    </row>
    <row r="305" spans="1:26" s="70" customFormat="1" ht="24.95" customHeight="1">
      <c r="A305" s="80"/>
      <c r="B305" s="99">
        <v>45383</v>
      </c>
      <c r="C305" s="135" t="s">
        <v>51</v>
      </c>
      <c r="D305" s="59" t="s">
        <v>20</v>
      </c>
      <c r="E305" s="14" t="str">
        <f t="shared" si="26"/>
        <v>H1B</v>
      </c>
      <c r="F305" s="111" t="s">
        <v>52</v>
      </c>
      <c r="G305" s="3" t="s">
        <v>26</v>
      </c>
      <c r="H305" s="95">
        <v>0.26</v>
      </c>
      <c r="I305" s="22" t="s">
        <v>43</v>
      </c>
      <c r="J305" s="109" t="s">
        <v>221</v>
      </c>
      <c r="K305" s="55" t="s">
        <v>909</v>
      </c>
      <c r="L305" s="125"/>
      <c r="M305" s="96"/>
      <c r="N305" s="45" t="s">
        <v>925</v>
      </c>
      <c r="O305" s="23" t="s">
        <v>30</v>
      </c>
      <c r="P305" s="88">
        <v>5</v>
      </c>
      <c r="Q305" s="88">
        <v>1</v>
      </c>
      <c r="R305" s="66">
        <v>45409</v>
      </c>
      <c r="S305" s="54">
        <v>45411</v>
      </c>
      <c r="T305" s="45" t="s">
        <v>19</v>
      </c>
      <c r="U305" s="100">
        <v>1</v>
      </c>
      <c r="V305" s="108">
        <v>0</v>
      </c>
      <c r="W305" s="22" t="s">
        <v>40</v>
      </c>
      <c r="X305" s="88" t="str">
        <f t="shared" si="27"/>
        <v>D2IDW4-B-20.26</v>
      </c>
      <c r="Y305" s="22" t="s">
        <v>32</v>
      </c>
      <c r="Z305" s="78"/>
    </row>
    <row r="306" spans="1:26" s="70" customFormat="1" ht="24.95" customHeight="1">
      <c r="A306" s="80"/>
      <c r="B306" s="99">
        <v>45383</v>
      </c>
      <c r="C306" s="135" t="s">
        <v>51</v>
      </c>
      <c r="D306" s="59" t="s">
        <v>20</v>
      </c>
      <c r="E306" s="14" t="str">
        <f t="shared" si="26"/>
        <v>H1A</v>
      </c>
      <c r="F306" s="111" t="s">
        <v>52</v>
      </c>
      <c r="G306" s="3" t="s">
        <v>26</v>
      </c>
      <c r="H306" s="95">
        <v>0.26</v>
      </c>
      <c r="I306" s="22" t="s">
        <v>43</v>
      </c>
      <c r="J306" s="109" t="s">
        <v>936</v>
      </c>
      <c r="K306" s="55" t="s">
        <v>937</v>
      </c>
      <c r="L306" s="125" t="s">
        <v>938</v>
      </c>
      <c r="M306" s="96"/>
      <c r="N306" s="45" t="s">
        <v>928</v>
      </c>
      <c r="O306" s="23" t="s">
        <v>29</v>
      </c>
      <c r="P306" s="88">
        <v>1</v>
      </c>
      <c r="Q306" s="88">
        <v>1</v>
      </c>
      <c r="R306" s="66">
        <v>45406</v>
      </c>
      <c r="S306" s="54">
        <v>45411</v>
      </c>
      <c r="T306" s="45" t="s">
        <v>19</v>
      </c>
      <c r="U306" s="100">
        <v>1</v>
      </c>
      <c r="V306" s="108">
        <v>0</v>
      </c>
      <c r="W306" s="22" t="s">
        <v>40</v>
      </c>
      <c r="X306" s="88" t="str">
        <f t="shared" si="27"/>
        <v>D2IDW4-B-20.26</v>
      </c>
      <c r="Y306" s="22" t="s">
        <v>32</v>
      </c>
      <c r="Z306" s="78"/>
    </row>
    <row r="307" spans="1:26" s="70" customFormat="1" ht="24.95" customHeight="1">
      <c r="A307" s="80"/>
      <c r="B307" s="99">
        <v>45383</v>
      </c>
      <c r="C307" s="135" t="s">
        <v>51</v>
      </c>
      <c r="D307" s="59" t="s">
        <v>20</v>
      </c>
      <c r="E307" s="14" t="str">
        <f t="shared" si="26"/>
        <v>H1A</v>
      </c>
      <c r="F307" s="111" t="s">
        <v>52</v>
      </c>
      <c r="G307" s="3" t="s">
        <v>26</v>
      </c>
      <c r="H307" s="95">
        <v>0.26</v>
      </c>
      <c r="I307" s="22" t="s">
        <v>43</v>
      </c>
      <c r="J307" s="55" t="s">
        <v>53</v>
      </c>
      <c r="K307" s="125" t="s">
        <v>222</v>
      </c>
      <c r="L307" s="125" t="s">
        <v>225</v>
      </c>
      <c r="M307" s="96"/>
      <c r="N307" s="45" t="s">
        <v>928</v>
      </c>
      <c r="O307" s="23" t="s">
        <v>30</v>
      </c>
      <c r="P307" s="88">
        <v>3</v>
      </c>
      <c r="Q307" s="88">
        <v>1</v>
      </c>
      <c r="R307" s="66">
        <v>45405</v>
      </c>
      <c r="S307" s="54">
        <v>45411</v>
      </c>
      <c r="T307" s="45" t="s">
        <v>19</v>
      </c>
      <c r="U307" s="100">
        <v>1</v>
      </c>
      <c r="V307" s="108">
        <v>0</v>
      </c>
      <c r="W307" s="22" t="s">
        <v>40</v>
      </c>
      <c r="X307" s="88" t="str">
        <f t="shared" si="27"/>
        <v>D2IDW4-B-20.26</v>
      </c>
      <c r="Y307" s="22" t="s">
        <v>32</v>
      </c>
      <c r="Z307" s="78"/>
    </row>
    <row r="308" spans="1:26" s="70" customFormat="1" ht="24.95" customHeight="1">
      <c r="A308" s="80"/>
      <c r="B308" s="99">
        <v>45383</v>
      </c>
      <c r="C308" s="135" t="s">
        <v>51</v>
      </c>
      <c r="D308" s="59" t="s">
        <v>20</v>
      </c>
      <c r="E308" s="14" t="str">
        <f t="shared" si="26"/>
        <v>H1A</v>
      </c>
      <c r="F308" s="111" t="s">
        <v>52</v>
      </c>
      <c r="G308" s="3" t="s">
        <v>26</v>
      </c>
      <c r="H308" s="95">
        <v>0.26</v>
      </c>
      <c r="I308" s="22" t="s">
        <v>43</v>
      </c>
      <c r="J308" s="109" t="s">
        <v>939</v>
      </c>
      <c r="K308" s="55" t="s">
        <v>940</v>
      </c>
      <c r="L308" s="125" t="s">
        <v>941</v>
      </c>
      <c r="M308" s="96"/>
      <c r="N308" s="45" t="s">
        <v>942</v>
      </c>
      <c r="O308" s="23" t="s">
        <v>29</v>
      </c>
      <c r="P308" s="88">
        <v>1</v>
      </c>
      <c r="Q308" s="88">
        <v>1</v>
      </c>
      <c r="R308" s="66">
        <v>45410</v>
      </c>
      <c r="S308" s="54">
        <v>45411</v>
      </c>
      <c r="T308" s="45" t="s">
        <v>19</v>
      </c>
      <c r="U308" s="100">
        <v>1</v>
      </c>
      <c r="V308" s="108">
        <v>0</v>
      </c>
      <c r="W308" s="22" t="s">
        <v>40</v>
      </c>
      <c r="X308" s="88" t="str">
        <f t="shared" si="27"/>
        <v>D2IDW4-B-20.26</v>
      </c>
      <c r="Y308" s="22" t="s">
        <v>32</v>
      </c>
      <c r="Z308" s="78"/>
    </row>
    <row r="309" spans="1:26" s="70" customFormat="1" ht="24.95" customHeight="1">
      <c r="A309" s="72"/>
      <c r="B309" s="99">
        <v>45383</v>
      </c>
      <c r="C309" s="135" t="s">
        <v>51</v>
      </c>
      <c r="D309" s="59" t="s">
        <v>20</v>
      </c>
      <c r="E309" s="45" t="str">
        <f t="shared" si="26"/>
        <v>H4A</v>
      </c>
      <c r="F309" s="111" t="s">
        <v>429</v>
      </c>
      <c r="G309" s="3" t="s">
        <v>26</v>
      </c>
      <c r="H309" s="95">
        <v>0.42</v>
      </c>
      <c r="I309" s="22" t="s">
        <v>430</v>
      </c>
      <c r="J309" s="109" t="s">
        <v>929</v>
      </c>
      <c r="K309" s="55" t="s">
        <v>943</v>
      </c>
      <c r="L309" s="125" t="s">
        <v>944</v>
      </c>
      <c r="M309" s="96"/>
      <c r="N309" s="45" t="s">
        <v>945</v>
      </c>
      <c r="O309" s="23" t="s">
        <v>933</v>
      </c>
      <c r="P309" s="88">
        <v>1</v>
      </c>
      <c r="Q309" s="88">
        <v>5</v>
      </c>
      <c r="R309" s="66">
        <v>45408</v>
      </c>
      <c r="S309" s="54">
        <v>45411</v>
      </c>
      <c r="T309" s="45" t="s">
        <v>19</v>
      </c>
      <c r="U309" s="134">
        <v>5</v>
      </c>
      <c r="V309" s="108">
        <v>0</v>
      </c>
      <c r="W309" s="22" t="s">
        <v>40</v>
      </c>
      <c r="X309" s="88" t="str">
        <f t="shared" si="27"/>
        <v>2-ATZ-3000.42</v>
      </c>
      <c r="Y309" s="22" t="s">
        <v>32</v>
      </c>
      <c r="Z309" s="78"/>
    </row>
    <row r="310" spans="1:26" s="70" customFormat="1" ht="24.95" customHeight="1">
      <c r="A310" s="80"/>
      <c r="B310" s="99">
        <v>45383</v>
      </c>
      <c r="C310" s="135" t="s">
        <v>51</v>
      </c>
      <c r="D310" s="59" t="s">
        <v>20</v>
      </c>
      <c r="E310" s="14" t="str">
        <f t="shared" si="26"/>
        <v>H4B</v>
      </c>
      <c r="F310" s="111" t="s">
        <v>429</v>
      </c>
      <c r="G310" s="3" t="s">
        <v>26</v>
      </c>
      <c r="H310" s="111">
        <v>0.47</v>
      </c>
      <c r="I310" s="22" t="s">
        <v>430</v>
      </c>
      <c r="J310" s="21" t="s">
        <v>946</v>
      </c>
      <c r="K310" s="130" t="s">
        <v>947</v>
      </c>
      <c r="L310" s="126" t="s">
        <v>948</v>
      </c>
      <c r="M310" s="96"/>
      <c r="N310" s="45" t="s">
        <v>949</v>
      </c>
      <c r="O310" s="23" t="s">
        <v>950</v>
      </c>
      <c r="P310" s="88">
        <v>1</v>
      </c>
      <c r="Q310" s="88">
        <v>2</v>
      </c>
      <c r="R310" s="66">
        <v>45405</v>
      </c>
      <c r="S310" s="54">
        <v>45412</v>
      </c>
      <c r="T310" s="45" t="s">
        <v>19</v>
      </c>
      <c r="U310" s="100">
        <v>2</v>
      </c>
      <c r="V310" s="108">
        <v>0</v>
      </c>
      <c r="W310" s="22" t="s">
        <v>40</v>
      </c>
      <c r="X310" s="88" t="str">
        <f t="shared" si="27"/>
        <v>2-ATZ-3000.47</v>
      </c>
      <c r="Y310" s="22" t="s">
        <v>32</v>
      </c>
      <c r="Z310" s="78"/>
    </row>
    <row r="311" spans="1:26" s="70" customFormat="1" ht="24.95" customHeight="1">
      <c r="A311" s="80"/>
      <c r="B311" s="99">
        <v>45413</v>
      </c>
      <c r="C311" s="135" t="s">
        <v>35</v>
      </c>
      <c r="D311" s="59" t="s">
        <v>20</v>
      </c>
      <c r="E311" s="14" t="str">
        <f t="shared" si="26"/>
        <v>V9B</v>
      </c>
      <c r="F311" s="111" t="s">
        <v>23</v>
      </c>
      <c r="G311" s="3" t="s">
        <v>26</v>
      </c>
      <c r="H311" s="111">
        <v>1.2</v>
      </c>
      <c r="I311" s="22" t="s">
        <v>25</v>
      </c>
      <c r="J311" s="21" t="s">
        <v>317</v>
      </c>
      <c r="K311" s="130"/>
      <c r="L311" s="125" t="s">
        <v>189</v>
      </c>
      <c r="M311" s="96"/>
      <c r="N311" s="45" t="s">
        <v>952</v>
      </c>
      <c r="O311" s="23" t="s">
        <v>29</v>
      </c>
      <c r="P311" s="88">
        <v>5</v>
      </c>
      <c r="Q311" s="88">
        <v>1</v>
      </c>
      <c r="R311" s="66">
        <v>45413</v>
      </c>
      <c r="S311" s="54">
        <v>45418</v>
      </c>
      <c r="T311" s="45" t="s">
        <v>19</v>
      </c>
      <c r="U311" s="100">
        <v>1</v>
      </c>
      <c r="V311" s="108">
        <v>0</v>
      </c>
      <c r="W311" s="22" t="s">
        <v>40</v>
      </c>
      <c r="X311" s="88" t="str">
        <f t="shared" si="27"/>
        <v>0FBWSHC1.2</v>
      </c>
      <c r="Y311" s="22" t="s">
        <v>32</v>
      </c>
      <c r="Z311" s="78"/>
    </row>
    <row r="312" spans="1:26" s="70" customFormat="1" ht="24.95" customHeight="1">
      <c r="A312" s="80"/>
      <c r="B312" s="99">
        <v>45413</v>
      </c>
      <c r="C312" s="135" t="s">
        <v>35</v>
      </c>
      <c r="D312" s="59" t="s">
        <v>20</v>
      </c>
      <c r="E312" s="14" t="str">
        <f t="shared" si="26"/>
        <v>12A</v>
      </c>
      <c r="F312" s="111" t="s">
        <v>165</v>
      </c>
      <c r="G312" s="15" t="s">
        <v>27</v>
      </c>
      <c r="H312" s="111">
        <v>1.81</v>
      </c>
      <c r="I312" s="22" t="s">
        <v>329</v>
      </c>
      <c r="J312" s="21" t="s">
        <v>953</v>
      </c>
      <c r="K312" s="55" t="s">
        <v>831</v>
      </c>
      <c r="L312" s="125" t="s">
        <v>60</v>
      </c>
      <c r="M312" s="96"/>
      <c r="N312" s="45" t="s">
        <v>954</v>
      </c>
      <c r="O312" s="23" t="s">
        <v>30</v>
      </c>
      <c r="P312" s="88">
        <v>2</v>
      </c>
      <c r="Q312" s="88">
        <v>1</v>
      </c>
      <c r="R312" s="66">
        <v>45416</v>
      </c>
      <c r="S312" s="54">
        <v>45418</v>
      </c>
      <c r="T312" s="45" t="s">
        <v>19</v>
      </c>
      <c r="U312" s="100">
        <v>1</v>
      </c>
      <c r="V312" s="108">
        <v>0</v>
      </c>
      <c r="W312" s="22" t="s">
        <v>40</v>
      </c>
      <c r="X312" s="88" t="str">
        <f t="shared" si="27"/>
        <v>2EIWAD-O1.81</v>
      </c>
      <c r="Y312" s="22" t="s">
        <v>32</v>
      </c>
      <c r="Z312" s="78"/>
    </row>
    <row r="313" spans="1:26" s="70" customFormat="1" ht="24.95" customHeight="1">
      <c r="A313" s="80"/>
      <c r="B313" s="99">
        <v>45413</v>
      </c>
      <c r="C313" s="135" t="s">
        <v>35</v>
      </c>
      <c r="D313" s="59" t="s">
        <v>20</v>
      </c>
      <c r="E313" s="14" t="str">
        <f t="shared" si="26"/>
        <v>12A</v>
      </c>
      <c r="F313" s="111" t="s">
        <v>165</v>
      </c>
      <c r="G313" s="15" t="s">
        <v>27</v>
      </c>
      <c r="H313" s="111">
        <v>1.81</v>
      </c>
      <c r="I313" s="22" t="s">
        <v>329</v>
      </c>
      <c r="J313" s="21" t="s">
        <v>955</v>
      </c>
      <c r="K313" s="21" t="s">
        <v>956</v>
      </c>
      <c r="L313" s="125" t="s">
        <v>957</v>
      </c>
      <c r="M313" s="96"/>
      <c r="N313" s="45" t="s">
        <v>958</v>
      </c>
      <c r="O313" s="23" t="s">
        <v>29</v>
      </c>
      <c r="P313" s="88">
        <v>4</v>
      </c>
      <c r="Q313" s="88">
        <v>1</v>
      </c>
      <c r="R313" s="66">
        <v>45414</v>
      </c>
      <c r="S313" s="54">
        <v>45418</v>
      </c>
      <c r="T313" s="45" t="s">
        <v>19</v>
      </c>
      <c r="U313" s="100">
        <v>1</v>
      </c>
      <c r="V313" s="108">
        <v>0</v>
      </c>
      <c r="W313" s="22" t="s">
        <v>40</v>
      </c>
      <c r="X313" s="88" t="str">
        <f t="shared" si="27"/>
        <v>2EIWAD-O1.81</v>
      </c>
      <c r="Y313" s="22" t="s">
        <v>32</v>
      </c>
      <c r="Z313" s="78"/>
    </row>
    <row r="314" spans="1:26" s="70" customFormat="1" ht="24.95" customHeight="1">
      <c r="A314" s="80"/>
      <c r="B314" s="99">
        <v>45413</v>
      </c>
      <c r="C314" s="135" t="s">
        <v>35</v>
      </c>
      <c r="D314" s="59" t="s">
        <v>20</v>
      </c>
      <c r="E314" s="14" t="str">
        <f t="shared" si="26"/>
        <v>V9A</v>
      </c>
      <c r="F314" s="111" t="s">
        <v>637</v>
      </c>
      <c r="G314" s="15" t="s">
        <v>27</v>
      </c>
      <c r="H314" s="111">
        <v>1.1000000000000001</v>
      </c>
      <c r="I314" s="22" t="s">
        <v>268</v>
      </c>
      <c r="J314" s="21" t="s">
        <v>346</v>
      </c>
      <c r="K314" s="55" t="s">
        <v>959</v>
      </c>
      <c r="L314" s="125" t="s">
        <v>960</v>
      </c>
      <c r="M314" s="96"/>
      <c r="N314" s="45" t="s">
        <v>961</v>
      </c>
      <c r="O314" s="23" t="s">
        <v>29</v>
      </c>
      <c r="P314" s="45" t="s">
        <v>38</v>
      </c>
      <c r="Q314" s="88">
        <v>5</v>
      </c>
      <c r="R314" s="66">
        <v>45415</v>
      </c>
      <c r="S314" s="54">
        <v>45425</v>
      </c>
      <c r="T314" s="45" t="s">
        <v>19</v>
      </c>
      <c r="U314" s="100">
        <v>5</v>
      </c>
      <c r="V314" s="108">
        <v>0</v>
      </c>
      <c r="W314" s="22" t="s">
        <v>40</v>
      </c>
      <c r="X314" s="88" t="str">
        <f t="shared" si="27"/>
        <v>0FBWCC1.1</v>
      </c>
      <c r="Y314" s="22" t="s">
        <v>32</v>
      </c>
      <c r="Z314" s="78"/>
    </row>
    <row r="315" spans="1:26" s="70" customFormat="1" ht="24.95" customHeight="1">
      <c r="A315" s="80"/>
      <c r="B315" s="99">
        <v>45413</v>
      </c>
      <c r="C315" s="135" t="s">
        <v>35</v>
      </c>
      <c r="D315" s="59" t="s">
        <v>20</v>
      </c>
      <c r="E315" s="14" t="str">
        <f t="shared" si="26"/>
        <v>11A</v>
      </c>
      <c r="F315" s="111" t="s">
        <v>24</v>
      </c>
      <c r="G315" s="15" t="s">
        <v>27</v>
      </c>
      <c r="H315" s="111">
        <v>0.8</v>
      </c>
      <c r="I315" s="22" t="s">
        <v>28</v>
      </c>
      <c r="J315" s="21" t="s">
        <v>562</v>
      </c>
      <c r="K315" s="55" t="s">
        <v>831</v>
      </c>
      <c r="L315" s="125" t="s">
        <v>60</v>
      </c>
      <c r="M315" s="96"/>
      <c r="N315" s="45" t="s">
        <v>962</v>
      </c>
      <c r="O315" s="23" t="s">
        <v>29</v>
      </c>
      <c r="P315" s="88">
        <v>2</v>
      </c>
      <c r="Q315" s="88">
        <v>1</v>
      </c>
      <c r="R315" s="66">
        <v>45418</v>
      </c>
      <c r="S315" s="54">
        <v>45425</v>
      </c>
      <c r="T315" s="45" t="s">
        <v>19</v>
      </c>
      <c r="U315" s="100">
        <v>1</v>
      </c>
      <c r="V315" s="108">
        <v>0</v>
      </c>
      <c r="W315" s="22" t="s">
        <v>40</v>
      </c>
      <c r="X315" s="88" t="str">
        <f t="shared" si="27"/>
        <v>2PEW0.8</v>
      </c>
      <c r="Y315" s="22" t="s">
        <v>32</v>
      </c>
      <c r="Z315" s="78"/>
    </row>
    <row r="316" spans="1:26" s="70" customFormat="1" ht="24.95" customHeight="1">
      <c r="A316" s="80"/>
      <c r="B316" s="99">
        <v>45413</v>
      </c>
      <c r="C316" s="135" t="s">
        <v>35</v>
      </c>
      <c r="D316" s="59" t="s">
        <v>20</v>
      </c>
      <c r="E316" s="14" t="str">
        <f t="shared" si="26"/>
        <v>V9B</v>
      </c>
      <c r="F316" s="111" t="s">
        <v>23</v>
      </c>
      <c r="G316" s="3" t="s">
        <v>26</v>
      </c>
      <c r="H316" s="111">
        <v>0.95</v>
      </c>
      <c r="I316" s="22" t="s">
        <v>25</v>
      </c>
      <c r="J316" s="21" t="s">
        <v>963</v>
      </c>
      <c r="K316" s="55" t="s">
        <v>831</v>
      </c>
      <c r="L316" s="125" t="s">
        <v>964</v>
      </c>
      <c r="M316" s="96"/>
      <c r="N316" s="45" t="s">
        <v>965</v>
      </c>
      <c r="O316" s="23" t="s">
        <v>30</v>
      </c>
      <c r="P316" s="88">
        <v>7</v>
      </c>
      <c r="Q316" s="88">
        <v>1</v>
      </c>
      <c r="R316" s="66">
        <v>45424</v>
      </c>
      <c r="S316" s="54">
        <v>45428</v>
      </c>
      <c r="T316" s="45" t="s">
        <v>19</v>
      </c>
      <c r="U316" s="100">
        <v>1</v>
      </c>
      <c r="V316" s="108">
        <v>0</v>
      </c>
      <c r="W316" s="22" t="s">
        <v>40</v>
      </c>
      <c r="X316" s="88" t="str">
        <f t="shared" si="27"/>
        <v>0FBWSHC0.95</v>
      </c>
      <c r="Y316" s="22" t="s">
        <v>32</v>
      </c>
      <c r="Z316" s="78"/>
    </row>
    <row r="317" spans="1:26" s="70" customFormat="1" ht="24.95" customHeight="1">
      <c r="A317" s="80"/>
      <c r="B317" s="99">
        <v>45413</v>
      </c>
      <c r="C317" s="135" t="s">
        <v>35</v>
      </c>
      <c r="D317" s="59" t="s">
        <v>20</v>
      </c>
      <c r="E317" s="14" t="str">
        <f t="shared" si="26"/>
        <v>V8B</v>
      </c>
      <c r="F317" s="111" t="s">
        <v>205</v>
      </c>
      <c r="G317" s="3" t="s">
        <v>26</v>
      </c>
      <c r="H317" s="111">
        <v>0.8</v>
      </c>
      <c r="I317" s="22" t="s">
        <v>268</v>
      </c>
      <c r="J317" s="21" t="s">
        <v>317</v>
      </c>
      <c r="K317" s="130"/>
      <c r="L317" s="125" t="s">
        <v>966</v>
      </c>
      <c r="M317" s="96"/>
      <c r="N317" s="45" t="s">
        <v>967</v>
      </c>
      <c r="O317" s="23" t="s">
        <v>193</v>
      </c>
      <c r="P317" s="88">
        <v>3</v>
      </c>
      <c r="Q317" s="88">
        <v>2</v>
      </c>
      <c r="R317" s="66">
        <v>45424</v>
      </c>
      <c r="S317" s="54">
        <v>45428</v>
      </c>
      <c r="T317" s="45" t="s">
        <v>19</v>
      </c>
      <c r="U317" s="100">
        <v>2</v>
      </c>
      <c r="V317" s="108">
        <v>0</v>
      </c>
      <c r="W317" s="22" t="s">
        <v>40</v>
      </c>
      <c r="X317" s="88" t="str">
        <f t="shared" si="27"/>
        <v>2EIWAD0.8</v>
      </c>
      <c r="Y317" s="22" t="s">
        <v>32</v>
      </c>
      <c r="Z317" s="78"/>
    </row>
    <row r="318" spans="1:26" s="70" customFormat="1" ht="24.95" customHeight="1">
      <c r="A318" s="80"/>
      <c r="B318" s="99">
        <v>45413</v>
      </c>
      <c r="C318" s="135" t="s">
        <v>35</v>
      </c>
      <c r="D318" s="59" t="s">
        <v>20</v>
      </c>
      <c r="E318" s="14" t="str">
        <f t="shared" si="26"/>
        <v>V4B</v>
      </c>
      <c r="F318" s="111" t="s">
        <v>200</v>
      </c>
      <c r="G318" s="3" t="s">
        <v>26</v>
      </c>
      <c r="H318" s="111">
        <v>0.44</v>
      </c>
      <c r="I318" s="22" t="s">
        <v>31</v>
      </c>
      <c r="J318" s="21" t="s">
        <v>317</v>
      </c>
      <c r="K318" s="55" t="s">
        <v>831</v>
      </c>
      <c r="L318" s="125" t="s">
        <v>879</v>
      </c>
      <c r="M318" s="96"/>
      <c r="N318" s="45" t="s">
        <v>968</v>
      </c>
      <c r="O318" s="23" t="s">
        <v>30</v>
      </c>
      <c r="P318" s="88">
        <v>9</v>
      </c>
      <c r="Q318" s="88">
        <v>1</v>
      </c>
      <c r="R318" s="66">
        <v>45424</v>
      </c>
      <c r="S318" s="54">
        <v>45428</v>
      </c>
      <c r="T318" s="45" t="s">
        <v>19</v>
      </c>
      <c r="U318" s="100">
        <v>1</v>
      </c>
      <c r="V318" s="108">
        <v>0</v>
      </c>
      <c r="W318" s="22" t="s">
        <v>40</v>
      </c>
      <c r="X318" s="88" t="str">
        <f t="shared" si="27"/>
        <v>D2IDW-4-B-20.44</v>
      </c>
      <c r="Y318" s="22" t="s">
        <v>32</v>
      </c>
      <c r="Z318" s="78"/>
    </row>
    <row r="319" spans="1:26" s="70" customFormat="1" ht="24.95" customHeight="1">
      <c r="A319" s="80"/>
      <c r="B319" s="99">
        <v>45413</v>
      </c>
      <c r="C319" s="135" t="s">
        <v>35</v>
      </c>
      <c r="D319" s="59" t="s">
        <v>20</v>
      </c>
      <c r="E319" s="14" t="str">
        <f t="shared" si="26"/>
        <v>V4B</v>
      </c>
      <c r="F319" s="111" t="s">
        <v>200</v>
      </c>
      <c r="G319" s="3" t="s">
        <v>26</v>
      </c>
      <c r="H319" s="111">
        <v>0.44</v>
      </c>
      <c r="I319" s="22" t="s">
        <v>31</v>
      </c>
      <c r="J319" s="21" t="s">
        <v>969</v>
      </c>
      <c r="K319" s="55" t="s">
        <v>970</v>
      </c>
      <c r="L319" s="125" t="s">
        <v>59</v>
      </c>
      <c r="M319" s="96"/>
      <c r="N319" s="45" t="s">
        <v>968</v>
      </c>
      <c r="O319" s="23" t="s">
        <v>29</v>
      </c>
      <c r="P319" s="88">
        <v>7</v>
      </c>
      <c r="Q319" s="88">
        <v>1</v>
      </c>
      <c r="R319" s="66">
        <v>45426</v>
      </c>
      <c r="S319" s="54">
        <v>45428</v>
      </c>
      <c r="T319" s="45" t="s">
        <v>19</v>
      </c>
      <c r="U319" s="100">
        <v>1</v>
      </c>
      <c r="V319" s="108">
        <v>0</v>
      </c>
      <c r="W319" s="22" t="s">
        <v>40</v>
      </c>
      <c r="X319" s="88" t="str">
        <f t="shared" si="27"/>
        <v>D2IDW-4-B-20.44</v>
      </c>
      <c r="Y319" s="22" t="s">
        <v>32</v>
      </c>
      <c r="Z319" s="78"/>
    </row>
    <row r="320" spans="1:26" s="70" customFormat="1" ht="24.95" customHeight="1">
      <c r="A320" s="80"/>
      <c r="B320" s="99">
        <v>45413</v>
      </c>
      <c r="C320" s="135" t="s">
        <v>35</v>
      </c>
      <c r="D320" s="59" t="s">
        <v>20</v>
      </c>
      <c r="E320" s="14" t="str">
        <f t="shared" si="26"/>
        <v>V8C</v>
      </c>
      <c r="F320" s="111" t="s">
        <v>529</v>
      </c>
      <c r="G320" s="3" t="s">
        <v>26</v>
      </c>
      <c r="H320" s="111">
        <v>1.1000000000000001</v>
      </c>
      <c r="I320" s="22" t="s">
        <v>530</v>
      </c>
      <c r="J320" s="21" t="s">
        <v>971</v>
      </c>
      <c r="K320" s="55" t="s">
        <v>972</v>
      </c>
      <c r="L320" s="125" t="s">
        <v>973</v>
      </c>
      <c r="M320" s="96"/>
      <c r="N320" s="45" t="s">
        <v>974</v>
      </c>
      <c r="O320" s="23" t="s">
        <v>975</v>
      </c>
      <c r="P320" s="88">
        <v>1</v>
      </c>
      <c r="Q320" s="88">
        <v>10</v>
      </c>
      <c r="R320" s="66">
        <v>45413</v>
      </c>
      <c r="S320" s="54">
        <v>45425</v>
      </c>
      <c r="T320" s="45" t="s">
        <v>19</v>
      </c>
      <c r="U320" s="100">
        <v>10</v>
      </c>
      <c r="V320" s="108">
        <v>0</v>
      </c>
      <c r="W320" s="22" t="s">
        <v>40</v>
      </c>
      <c r="X320" s="88" t="str">
        <f t="shared" si="27"/>
        <v>1PEW1.1</v>
      </c>
      <c r="Y320" s="22" t="s">
        <v>32</v>
      </c>
      <c r="Z320" s="78"/>
    </row>
    <row r="321" spans="1:26" s="70" customFormat="1" ht="24.95" customHeight="1">
      <c r="A321" s="80"/>
      <c r="B321" s="99">
        <v>45413</v>
      </c>
      <c r="C321" s="135" t="s">
        <v>35</v>
      </c>
      <c r="D321" s="59" t="s">
        <v>20</v>
      </c>
      <c r="E321" s="14" t="str">
        <f t="shared" si="26"/>
        <v>11B</v>
      </c>
      <c r="F321" s="111" t="s">
        <v>24</v>
      </c>
      <c r="G321" s="15" t="s">
        <v>27</v>
      </c>
      <c r="H321" s="111">
        <v>0.73</v>
      </c>
      <c r="I321" s="22" t="s">
        <v>28</v>
      </c>
      <c r="J321" s="21" t="s">
        <v>562</v>
      </c>
      <c r="K321" s="55" t="s">
        <v>831</v>
      </c>
      <c r="L321" s="125" t="s">
        <v>60</v>
      </c>
      <c r="M321" s="96"/>
      <c r="N321" s="45" t="s">
        <v>1004</v>
      </c>
      <c r="O321" s="23" t="s">
        <v>1005</v>
      </c>
      <c r="P321" s="23" t="s">
        <v>1006</v>
      </c>
      <c r="Q321" s="88">
        <v>2</v>
      </c>
      <c r="R321" s="66">
        <v>45426</v>
      </c>
      <c r="S321" s="54">
        <v>45427</v>
      </c>
      <c r="T321" s="45" t="s">
        <v>19</v>
      </c>
      <c r="U321" s="100">
        <v>0</v>
      </c>
      <c r="V321" s="108">
        <v>2</v>
      </c>
      <c r="W321" s="22" t="s">
        <v>40</v>
      </c>
      <c r="X321" s="88" t="str">
        <f t="shared" si="27"/>
        <v>2PEW0.73</v>
      </c>
      <c r="Y321" s="22" t="s">
        <v>182</v>
      </c>
      <c r="Z321" s="78"/>
    </row>
    <row r="322" spans="1:26" s="70" customFormat="1" ht="24.95" customHeight="1">
      <c r="A322" s="80"/>
      <c r="B322" s="99">
        <v>45413</v>
      </c>
      <c r="C322" s="135" t="s">
        <v>35</v>
      </c>
      <c r="D322" s="59" t="s">
        <v>20</v>
      </c>
      <c r="E322" s="14" t="str">
        <f t="shared" si="26"/>
        <v>12B</v>
      </c>
      <c r="F322" s="111" t="s">
        <v>719</v>
      </c>
      <c r="G322" s="15" t="s">
        <v>27</v>
      </c>
      <c r="H322" s="111">
        <v>1.1499999999999999</v>
      </c>
      <c r="I322" s="22" t="s">
        <v>252</v>
      </c>
      <c r="J322" s="21" t="s">
        <v>1007</v>
      </c>
      <c r="K322" s="55" t="s">
        <v>1008</v>
      </c>
      <c r="L322" s="125" t="s">
        <v>1009</v>
      </c>
      <c r="M322" s="96"/>
      <c r="N322" s="45" t="s">
        <v>1010</v>
      </c>
      <c r="O322" s="23" t="s">
        <v>30</v>
      </c>
      <c r="P322" s="23" t="s">
        <v>38</v>
      </c>
      <c r="Q322" s="88">
        <v>5</v>
      </c>
      <c r="R322" s="66">
        <v>45428</v>
      </c>
      <c r="S322" s="54">
        <v>45432</v>
      </c>
      <c r="T322" s="45" t="s">
        <v>19</v>
      </c>
      <c r="U322" s="100">
        <v>5</v>
      </c>
      <c r="V322" s="108">
        <v>0</v>
      </c>
      <c r="W322" s="22" t="s">
        <v>40</v>
      </c>
      <c r="X322" s="88" t="str">
        <f t="shared" si="27"/>
        <v>D1-IDW-41.15</v>
      </c>
      <c r="Y322" s="22" t="s">
        <v>32</v>
      </c>
      <c r="Z322" s="78"/>
    </row>
    <row r="323" spans="1:26" s="70" customFormat="1" ht="24.95" customHeight="1">
      <c r="A323" s="80"/>
      <c r="B323" s="99">
        <v>45413</v>
      </c>
      <c r="C323" s="135" t="s">
        <v>35</v>
      </c>
      <c r="D323" s="59" t="s">
        <v>20</v>
      </c>
      <c r="E323" s="14" t="str">
        <f t="shared" si="26"/>
        <v>V4B</v>
      </c>
      <c r="F323" s="111" t="s">
        <v>200</v>
      </c>
      <c r="G323" s="15" t="s">
        <v>27</v>
      </c>
      <c r="H323" s="111">
        <v>0.44</v>
      </c>
      <c r="I323" s="22" t="s">
        <v>31</v>
      </c>
      <c r="J323" s="21" t="s">
        <v>1011</v>
      </c>
      <c r="K323" s="55" t="s">
        <v>831</v>
      </c>
      <c r="L323" s="125" t="s">
        <v>1012</v>
      </c>
      <c r="M323" s="96"/>
      <c r="N323" s="45" t="s">
        <v>1013</v>
      </c>
      <c r="O323" s="23" t="s">
        <v>30</v>
      </c>
      <c r="P323" s="23" t="s">
        <v>1014</v>
      </c>
      <c r="Q323" s="88">
        <v>1</v>
      </c>
      <c r="R323" s="66">
        <v>45420</v>
      </c>
      <c r="S323" s="54">
        <v>45432</v>
      </c>
      <c r="T323" s="45" t="s">
        <v>19</v>
      </c>
      <c r="U323" s="100">
        <v>1</v>
      </c>
      <c r="V323" s="108">
        <v>0</v>
      </c>
      <c r="W323" s="22" t="s">
        <v>40</v>
      </c>
      <c r="X323" s="88" t="str">
        <f t="shared" si="27"/>
        <v>D2IDW-4-B-20.44</v>
      </c>
      <c r="Y323" s="22" t="s">
        <v>32</v>
      </c>
      <c r="Z323" s="78"/>
    </row>
    <row r="324" spans="1:26" s="70" customFormat="1" ht="24.95" customHeight="1">
      <c r="A324" s="80"/>
      <c r="B324" s="99">
        <v>45413</v>
      </c>
      <c r="C324" s="135" t="s">
        <v>35</v>
      </c>
      <c r="D324" s="59" t="s">
        <v>20</v>
      </c>
      <c r="E324" s="14" t="str">
        <f t="shared" si="26"/>
        <v>V6A</v>
      </c>
      <c r="F324" s="111" t="s">
        <v>1015</v>
      </c>
      <c r="G324" s="3" t="s">
        <v>26</v>
      </c>
      <c r="H324" s="111">
        <v>1.81</v>
      </c>
      <c r="I324" s="22" t="s">
        <v>187</v>
      </c>
      <c r="J324" s="21" t="s">
        <v>1016</v>
      </c>
      <c r="K324" s="55"/>
      <c r="L324" s="125"/>
      <c r="M324" s="96"/>
      <c r="N324" s="45" t="s">
        <v>1017</v>
      </c>
      <c r="O324" s="23" t="s">
        <v>39</v>
      </c>
      <c r="P324" s="23" t="s">
        <v>812</v>
      </c>
      <c r="Q324" s="88">
        <v>1</v>
      </c>
      <c r="R324" s="66">
        <v>45422</v>
      </c>
      <c r="S324" s="54">
        <v>45432</v>
      </c>
      <c r="T324" s="45" t="s">
        <v>19</v>
      </c>
      <c r="U324" s="100">
        <v>1</v>
      </c>
      <c r="V324" s="108">
        <v>0</v>
      </c>
      <c r="W324" s="22" t="s">
        <v>40</v>
      </c>
      <c r="X324" s="88" t="str">
        <f t="shared" si="27"/>
        <v>2EIWAD-OP1.81</v>
      </c>
      <c r="Y324" s="22" t="s">
        <v>32</v>
      </c>
      <c r="Z324" s="78"/>
    </row>
    <row r="325" spans="1:26" s="70" customFormat="1" ht="24.95" customHeight="1">
      <c r="A325" s="80"/>
      <c r="B325" s="99">
        <v>45413</v>
      </c>
      <c r="C325" s="135" t="s">
        <v>35</v>
      </c>
      <c r="D325" s="59" t="s">
        <v>20</v>
      </c>
      <c r="E325" s="14" t="str">
        <f t="shared" si="26"/>
        <v>V8A</v>
      </c>
      <c r="F325" s="111" t="s">
        <v>529</v>
      </c>
      <c r="G325" s="3" t="s">
        <v>26</v>
      </c>
      <c r="H325" s="111">
        <v>2.7</v>
      </c>
      <c r="I325" s="22" t="s">
        <v>530</v>
      </c>
      <c r="J325" s="21" t="s">
        <v>1018</v>
      </c>
      <c r="K325" s="55"/>
      <c r="L325" s="125" t="s">
        <v>1019</v>
      </c>
      <c r="M325" s="96"/>
      <c r="N325" s="45" t="s">
        <v>1020</v>
      </c>
      <c r="O325" s="23" t="s">
        <v>933</v>
      </c>
      <c r="P325" s="23" t="s">
        <v>328</v>
      </c>
      <c r="Q325" s="88">
        <v>5</v>
      </c>
      <c r="R325" s="66">
        <v>45425</v>
      </c>
      <c r="S325" s="54">
        <v>45432</v>
      </c>
      <c r="T325" s="45" t="s">
        <v>19</v>
      </c>
      <c r="U325" s="100">
        <v>5</v>
      </c>
      <c r="V325" s="108">
        <v>0</v>
      </c>
      <c r="W325" s="22" t="s">
        <v>40</v>
      </c>
      <c r="X325" s="88" t="str">
        <f t="shared" si="27"/>
        <v>1PEW2.7</v>
      </c>
      <c r="Y325" s="22" t="s">
        <v>32</v>
      </c>
      <c r="Z325" s="78"/>
    </row>
    <row r="326" spans="1:26" s="70" customFormat="1" ht="24.95" customHeight="1">
      <c r="A326" s="80"/>
      <c r="B326" s="99">
        <v>45413</v>
      </c>
      <c r="C326" s="135" t="s">
        <v>35</v>
      </c>
      <c r="D326" s="59" t="s">
        <v>20</v>
      </c>
      <c r="E326" s="14" t="str">
        <f t="shared" si="26"/>
        <v>11A</v>
      </c>
      <c r="F326" s="111" t="s">
        <v>251</v>
      </c>
      <c r="G326" s="15" t="s">
        <v>27</v>
      </c>
      <c r="H326" s="111">
        <v>0.83</v>
      </c>
      <c r="I326" s="22" t="s">
        <v>252</v>
      </c>
      <c r="J326" s="21" t="s">
        <v>1021</v>
      </c>
      <c r="K326" s="55" t="s">
        <v>831</v>
      </c>
      <c r="L326" s="125" t="s">
        <v>1022</v>
      </c>
      <c r="M326" s="96"/>
      <c r="N326" s="45" t="s">
        <v>1023</v>
      </c>
      <c r="O326" s="23" t="s">
        <v>30</v>
      </c>
      <c r="P326" s="23" t="s">
        <v>1024</v>
      </c>
      <c r="Q326" s="88">
        <v>2</v>
      </c>
      <c r="R326" s="66">
        <v>45435</v>
      </c>
      <c r="S326" s="54">
        <v>45441</v>
      </c>
      <c r="T326" s="45" t="s">
        <v>19</v>
      </c>
      <c r="U326" s="100">
        <v>2</v>
      </c>
      <c r="V326" s="108">
        <v>0</v>
      </c>
      <c r="W326" s="22" t="s">
        <v>40</v>
      </c>
      <c r="X326" s="88" t="str">
        <f t="shared" si="27"/>
        <v>D2-IDW-4E0.83</v>
      </c>
      <c r="Y326" s="22" t="s">
        <v>32</v>
      </c>
      <c r="Z326" s="78"/>
    </row>
    <row r="327" spans="1:26" s="70" customFormat="1" ht="24.95" customHeight="1">
      <c r="A327" s="80"/>
      <c r="B327" s="99">
        <v>45413</v>
      </c>
      <c r="C327" s="135" t="s">
        <v>35</v>
      </c>
      <c r="D327" s="59" t="s">
        <v>20</v>
      </c>
      <c r="E327" s="14" t="str">
        <f t="shared" si="26"/>
        <v>V4B</v>
      </c>
      <c r="F327" s="111" t="s">
        <v>200</v>
      </c>
      <c r="G327" s="3" t="s">
        <v>26</v>
      </c>
      <c r="H327" s="111">
        <v>0.44</v>
      </c>
      <c r="I327" s="22" t="s">
        <v>31</v>
      </c>
      <c r="J327" s="21" t="s">
        <v>317</v>
      </c>
      <c r="K327" s="55" t="s">
        <v>831</v>
      </c>
      <c r="L327" s="125" t="s">
        <v>879</v>
      </c>
      <c r="M327" s="96"/>
      <c r="N327" s="45" t="s">
        <v>1025</v>
      </c>
      <c r="O327" s="23" t="s">
        <v>29</v>
      </c>
      <c r="P327" s="23" t="s">
        <v>1026</v>
      </c>
      <c r="Q327" s="88">
        <v>1</v>
      </c>
      <c r="R327" s="66">
        <v>45424</v>
      </c>
      <c r="S327" s="54">
        <v>45441</v>
      </c>
      <c r="T327" s="45" t="s">
        <v>19</v>
      </c>
      <c r="U327" s="100">
        <v>1</v>
      </c>
      <c r="V327" s="108">
        <v>0</v>
      </c>
      <c r="W327" s="22" t="s">
        <v>40</v>
      </c>
      <c r="X327" s="88" t="str">
        <f t="shared" si="27"/>
        <v>D2IDW-4-B-20.44</v>
      </c>
      <c r="Y327" s="22" t="s">
        <v>32</v>
      </c>
      <c r="Z327" s="78"/>
    </row>
    <row r="328" spans="1:26" s="70" customFormat="1" ht="24.95" customHeight="1">
      <c r="A328" s="80"/>
      <c r="B328" s="99">
        <v>45413</v>
      </c>
      <c r="C328" s="135" t="s">
        <v>35</v>
      </c>
      <c r="D328" s="59" t="s">
        <v>20</v>
      </c>
      <c r="E328" s="14" t="str">
        <f t="shared" si="26"/>
        <v>11B</v>
      </c>
      <c r="F328" s="111" t="s">
        <v>24</v>
      </c>
      <c r="G328" s="3" t="s">
        <v>26</v>
      </c>
      <c r="H328" s="111">
        <v>0.8</v>
      </c>
      <c r="I328" s="22" t="s">
        <v>28</v>
      </c>
      <c r="J328" s="21" t="s">
        <v>360</v>
      </c>
      <c r="K328" s="55" t="s">
        <v>1027</v>
      </c>
      <c r="L328" s="125" t="s">
        <v>809</v>
      </c>
      <c r="M328" s="96"/>
      <c r="N328" s="45" t="s">
        <v>1028</v>
      </c>
      <c r="O328" s="23" t="s">
        <v>30</v>
      </c>
      <c r="P328" s="23" t="s">
        <v>328</v>
      </c>
      <c r="Q328" s="88">
        <v>1</v>
      </c>
      <c r="R328" s="66">
        <v>45440</v>
      </c>
      <c r="S328" s="54">
        <v>45441</v>
      </c>
      <c r="T328" s="45" t="s">
        <v>19</v>
      </c>
      <c r="U328" s="100">
        <v>1</v>
      </c>
      <c r="V328" s="108">
        <v>0</v>
      </c>
      <c r="W328" s="22" t="s">
        <v>40</v>
      </c>
      <c r="X328" s="88" t="str">
        <f t="shared" si="27"/>
        <v>2PEW0.8</v>
      </c>
      <c r="Y328" s="22" t="s">
        <v>32</v>
      </c>
      <c r="Z328" s="78"/>
    </row>
    <row r="329" spans="1:26" s="70" customFormat="1" ht="24.95" customHeight="1">
      <c r="A329" s="80"/>
      <c r="B329" s="99">
        <v>45413</v>
      </c>
      <c r="C329" s="135" t="s">
        <v>35</v>
      </c>
      <c r="D329" s="59" t="s">
        <v>20</v>
      </c>
      <c r="E329" s="14" t="str">
        <f t="shared" si="26"/>
        <v>11B</v>
      </c>
      <c r="F329" s="111" t="s">
        <v>24</v>
      </c>
      <c r="G329" s="15" t="s">
        <v>27</v>
      </c>
      <c r="H329" s="111">
        <v>0.8</v>
      </c>
      <c r="I329" s="22" t="s">
        <v>28</v>
      </c>
      <c r="J329" s="21" t="s">
        <v>47</v>
      </c>
      <c r="K329" s="55" t="s">
        <v>1029</v>
      </c>
      <c r="L329" s="125" t="s">
        <v>809</v>
      </c>
      <c r="M329" s="96"/>
      <c r="N329" s="45" t="s">
        <v>1028</v>
      </c>
      <c r="O329" s="23" t="s">
        <v>30</v>
      </c>
      <c r="P329" s="23" t="s">
        <v>256</v>
      </c>
      <c r="Q329" s="88">
        <v>1</v>
      </c>
      <c r="R329" s="66">
        <v>45440</v>
      </c>
      <c r="S329" s="54">
        <v>45441</v>
      </c>
      <c r="T329" s="45" t="s">
        <v>19</v>
      </c>
      <c r="U329" s="100">
        <v>1</v>
      </c>
      <c r="V329" s="108">
        <v>0</v>
      </c>
      <c r="W329" s="22" t="s">
        <v>40</v>
      </c>
      <c r="X329" s="88" t="str">
        <f t="shared" si="27"/>
        <v>2PEW0.8</v>
      </c>
      <c r="Y329" s="22" t="s">
        <v>32</v>
      </c>
      <c r="Z329" s="78"/>
    </row>
    <row r="330" spans="1:26" s="70" customFormat="1" ht="24.95" customHeight="1">
      <c r="A330" s="80"/>
      <c r="B330" s="99">
        <v>45413</v>
      </c>
      <c r="C330" s="135" t="s">
        <v>35</v>
      </c>
      <c r="D330" s="59" t="s">
        <v>20</v>
      </c>
      <c r="E330" s="14" t="str">
        <f t="shared" si="26"/>
        <v>V6A</v>
      </c>
      <c r="F330" s="111" t="s">
        <v>186</v>
      </c>
      <c r="G330" s="15" t="s">
        <v>27</v>
      </c>
      <c r="H330" s="111">
        <v>1.18</v>
      </c>
      <c r="I330" s="22" t="s">
        <v>187</v>
      </c>
      <c r="J330" s="21" t="s">
        <v>951</v>
      </c>
      <c r="K330" s="55" t="s">
        <v>831</v>
      </c>
      <c r="L330" s="125" t="s">
        <v>60</v>
      </c>
      <c r="M330" s="96"/>
      <c r="N330" s="45" t="s">
        <v>1030</v>
      </c>
      <c r="O330" s="23" t="s">
        <v>30</v>
      </c>
      <c r="P330" s="23" t="s">
        <v>38</v>
      </c>
      <c r="Q330" s="88">
        <v>5</v>
      </c>
      <c r="R330" s="66">
        <v>45439</v>
      </c>
      <c r="S330" s="54">
        <v>45441</v>
      </c>
      <c r="T330" s="45" t="s">
        <v>19</v>
      </c>
      <c r="U330" s="100">
        <v>5</v>
      </c>
      <c r="V330" s="108">
        <v>0</v>
      </c>
      <c r="W330" s="22" t="s">
        <v>40</v>
      </c>
      <c r="X330" s="88" t="str">
        <f t="shared" si="27"/>
        <v>1HGZ-MA1.18</v>
      </c>
      <c r="Y330" s="22" t="s">
        <v>32</v>
      </c>
      <c r="Z330" s="78"/>
    </row>
    <row r="331" spans="1:26" s="70" customFormat="1" ht="24.95" customHeight="1">
      <c r="A331" s="80"/>
      <c r="B331" s="99">
        <v>45413</v>
      </c>
      <c r="C331" s="135" t="s">
        <v>35</v>
      </c>
      <c r="D331" s="59" t="s">
        <v>20</v>
      </c>
      <c r="E331" s="14" t="str">
        <f t="shared" si="26"/>
        <v>VOA</v>
      </c>
      <c r="F331" s="111" t="s">
        <v>259</v>
      </c>
      <c r="G331" s="15" t="s">
        <v>27</v>
      </c>
      <c r="H331" s="111">
        <v>0.56000000000000005</v>
      </c>
      <c r="I331" s="22" t="s">
        <v>31</v>
      </c>
      <c r="J331" s="21" t="s">
        <v>1031</v>
      </c>
      <c r="K331" s="55" t="s">
        <v>831</v>
      </c>
      <c r="L331" s="125" t="s">
        <v>816</v>
      </c>
      <c r="M331" s="96"/>
      <c r="N331" s="45" t="s">
        <v>1032</v>
      </c>
      <c r="O331" s="23" t="s">
        <v>1033</v>
      </c>
      <c r="P331" s="23" t="s">
        <v>328</v>
      </c>
      <c r="Q331" s="88">
        <v>2</v>
      </c>
      <c r="R331" s="66">
        <v>45435</v>
      </c>
      <c r="S331" s="54">
        <v>45441</v>
      </c>
      <c r="T331" s="45" t="s">
        <v>19</v>
      </c>
      <c r="U331" s="100">
        <v>2</v>
      </c>
      <c r="V331" s="108">
        <v>0</v>
      </c>
      <c r="W331" s="22" t="s">
        <v>40</v>
      </c>
      <c r="X331" s="88" t="str">
        <f t="shared" si="27"/>
        <v>D1-PEW-B-2T0.56</v>
      </c>
      <c r="Y331" s="22" t="s">
        <v>32</v>
      </c>
      <c r="Z331" s="78"/>
    </row>
    <row r="332" spans="1:26" s="70" customFormat="1" ht="24.95" customHeight="1">
      <c r="A332" s="80"/>
      <c r="B332" s="99">
        <v>45413</v>
      </c>
      <c r="C332" s="135" t="s">
        <v>35</v>
      </c>
      <c r="D332" s="59" t="s">
        <v>20</v>
      </c>
      <c r="E332" s="14" t="str">
        <f t="shared" si="26"/>
        <v>VOA</v>
      </c>
      <c r="F332" s="111" t="s">
        <v>259</v>
      </c>
      <c r="G332" s="3" t="s">
        <v>26</v>
      </c>
      <c r="H332" s="111">
        <v>0.56000000000000005</v>
      </c>
      <c r="I332" s="22" t="s">
        <v>31</v>
      </c>
      <c r="J332" s="21" t="s">
        <v>1034</v>
      </c>
      <c r="K332" s="55" t="s">
        <v>831</v>
      </c>
      <c r="L332" s="125" t="s">
        <v>816</v>
      </c>
      <c r="M332" s="96"/>
      <c r="N332" s="45" t="s">
        <v>1038</v>
      </c>
      <c r="O332" s="23" t="s">
        <v>464</v>
      </c>
      <c r="P332" s="23" t="s">
        <v>328</v>
      </c>
      <c r="Q332" s="88">
        <v>2</v>
      </c>
      <c r="R332" s="66">
        <v>45435</v>
      </c>
      <c r="S332" s="54">
        <v>45441</v>
      </c>
      <c r="T332" s="45" t="s">
        <v>19</v>
      </c>
      <c r="U332" s="100">
        <v>2</v>
      </c>
      <c r="V332" s="108">
        <v>0</v>
      </c>
      <c r="W332" s="22" t="s">
        <v>40</v>
      </c>
      <c r="X332" s="88" t="str">
        <f t="shared" si="27"/>
        <v>D1-PEW-B-2T0.56</v>
      </c>
      <c r="Y332" s="22" t="s">
        <v>32</v>
      </c>
      <c r="Z332" s="78"/>
    </row>
    <row r="333" spans="1:26" s="70" customFormat="1" ht="24.95" customHeight="1">
      <c r="A333" s="80"/>
      <c r="B333" s="99">
        <v>45413</v>
      </c>
      <c r="C333" s="135" t="s">
        <v>35</v>
      </c>
      <c r="D333" s="59" t="s">
        <v>20</v>
      </c>
      <c r="E333" s="14" t="str">
        <f t="shared" si="26"/>
        <v>11A</v>
      </c>
      <c r="F333" s="111" t="s">
        <v>24</v>
      </c>
      <c r="G333" s="15" t="s">
        <v>27</v>
      </c>
      <c r="H333" s="111">
        <v>0.82</v>
      </c>
      <c r="I333" s="22" t="s">
        <v>28</v>
      </c>
      <c r="J333" s="21" t="s">
        <v>1035</v>
      </c>
      <c r="K333" s="55" t="s">
        <v>1036</v>
      </c>
      <c r="L333" s="125" t="s">
        <v>1037</v>
      </c>
      <c r="M333" s="96"/>
      <c r="N333" s="45" t="s">
        <v>1039</v>
      </c>
      <c r="O333" s="23" t="s">
        <v>29</v>
      </c>
      <c r="P333" s="23" t="s">
        <v>38</v>
      </c>
      <c r="Q333" s="88">
        <v>5</v>
      </c>
      <c r="R333" s="66">
        <v>45427</v>
      </c>
      <c r="S333" s="54">
        <v>45432</v>
      </c>
      <c r="T333" s="45" t="s">
        <v>19</v>
      </c>
      <c r="U333" s="100">
        <v>5</v>
      </c>
      <c r="V333" s="108">
        <v>0</v>
      </c>
      <c r="W333" s="22" t="s">
        <v>40</v>
      </c>
      <c r="X333" s="88" t="str">
        <f t="shared" si="27"/>
        <v>2PEW0.82</v>
      </c>
      <c r="Y333" s="22" t="s">
        <v>32</v>
      </c>
      <c r="Z333" s="78"/>
    </row>
    <row r="334" spans="1:26" s="70" customFormat="1" ht="24.95" customHeight="1">
      <c r="A334" s="80"/>
      <c r="B334" s="99">
        <v>45413</v>
      </c>
      <c r="C334" s="135" t="s">
        <v>35</v>
      </c>
      <c r="D334" s="59" t="s">
        <v>20</v>
      </c>
      <c r="E334" s="14" t="str">
        <f t="shared" si="26"/>
        <v>V6A</v>
      </c>
      <c r="F334" s="111" t="s">
        <v>186</v>
      </c>
      <c r="G334" s="15" t="s">
        <v>27</v>
      </c>
      <c r="H334" s="111">
        <v>1.18</v>
      </c>
      <c r="I334" s="22" t="s">
        <v>187</v>
      </c>
      <c r="J334" s="21" t="s">
        <v>951</v>
      </c>
      <c r="K334" s="55" t="s">
        <v>1040</v>
      </c>
      <c r="L334" s="125" t="s">
        <v>1041</v>
      </c>
      <c r="M334" s="96"/>
      <c r="N334" s="45" t="s">
        <v>1042</v>
      </c>
      <c r="O334" s="23" t="s">
        <v>263</v>
      </c>
      <c r="P334" s="23" t="s">
        <v>328</v>
      </c>
      <c r="Q334" s="88">
        <v>1</v>
      </c>
      <c r="R334" s="66">
        <v>45426</v>
      </c>
      <c r="S334" s="54">
        <v>45432</v>
      </c>
      <c r="T334" s="45" t="s">
        <v>19</v>
      </c>
      <c r="U334" s="100">
        <v>1</v>
      </c>
      <c r="V334" s="108">
        <v>0</v>
      </c>
      <c r="W334" s="22" t="s">
        <v>40</v>
      </c>
      <c r="X334" s="88" t="str">
        <f t="shared" si="27"/>
        <v>1HGZ-MA1.18</v>
      </c>
      <c r="Y334" s="22" t="s">
        <v>32</v>
      </c>
      <c r="Z334" s="78"/>
    </row>
    <row r="335" spans="1:26" s="70" customFormat="1" ht="24.95" customHeight="1">
      <c r="A335" s="80"/>
      <c r="B335" s="99">
        <v>45413</v>
      </c>
      <c r="C335" s="135" t="s">
        <v>35</v>
      </c>
      <c r="D335" s="59" t="s">
        <v>20</v>
      </c>
      <c r="E335" s="14" t="str">
        <f t="shared" si="26"/>
        <v>V6A</v>
      </c>
      <c r="F335" s="111" t="s">
        <v>186</v>
      </c>
      <c r="G335" s="15" t="s">
        <v>27</v>
      </c>
      <c r="H335" s="111">
        <v>1.18</v>
      </c>
      <c r="I335" s="22" t="s">
        <v>187</v>
      </c>
      <c r="J335" s="21" t="s">
        <v>951</v>
      </c>
      <c r="K335" s="55" t="s">
        <v>1046</v>
      </c>
      <c r="L335" s="125" t="s">
        <v>809</v>
      </c>
      <c r="M335" s="96"/>
      <c r="N335" s="45" t="s">
        <v>1047</v>
      </c>
      <c r="O335" s="23" t="s">
        <v>1048</v>
      </c>
      <c r="P335" s="23" t="s">
        <v>38</v>
      </c>
      <c r="Q335" s="88">
        <v>20</v>
      </c>
      <c r="R335" s="66">
        <v>45429</v>
      </c>
      <c r="S335" s="54">
        <v>45432</v>
      </c>
      <c r="T335" s="45" t="s">
        <v>19</v>
      </c>
      <c r="U335" s="100">
        <v>20</v>
      </c>
      <c r="V335" s="108">
        <v>0</v>
      </c>
      <c r="W335" s="22" t="s">
        <v>40</v>
      </c>
      <c r="X335" s="88" t="str">
        <f t="shared" si="27"/>
        <v>1HGZ-MA1.18</v>
      </c>
      <c r="Y335" s="22" t="s">
        <v>32</v>
      </c>
      <c r="Z335" s="78"/>
    </row>
    <row r="336" spans="1:26" s="70" customFormat="1" ht="24.95" customHeight="1">
      <c r="A336" s="80"/>
      <c r="B336" s="99">
        <v>45413</v>
      </c>
      <c r="C336" s="135" t="s">
        <v>35</v>
      </c>
      <c r="D336" s="59" t="s">
        <v>20</v>
      </c>
      <c r="E336" s="14" t="str">
        <f t="shared" si="26"/>
        <v>V8A</v>
      </c>
      <c r="F336" s="111" t="s">
        <v>529</v>
      </c>
      <c r="G336" s="3" t="s">
        <v>26</v>
      </c>
      <c r="H336" s="111">
        <v>2.7</v>
      </c>
      <c r="I336" s="22" t="s">
        <v>530</v>
      </c>
      <c r="J336" s="21" t="s">
        <v>207</v>
      </c>
      <c r="K336" s="55" t="s">
        <v>1049</v>
      </c>
      <c r="L336" s="125" t="s">
        <v>210</v>
      </c>
      <c r="M336" s="96"/>
      <c r="N336" s="45" t="s">
        <v>1050</v>
      </c>
      <c r="O336" s="23" t="s">
        <v>1051</v>
      </c>
      <c r="P336" s="23" t="s">
        <v>328</v>
      </c>
      <c r="Q336" s="88">
        <v>1</v>
      </c>
      <c r="R336" s="66">
        <v>45429</v>
      </c>
      <c r="S336" s="54">
        <v>45432</v>
      </c>
      <c r="T336" s="45" t="s">
        <v>19</v>
      </c>
      <c r="U336" s="100">
        <v>1</v>
      </c>
      <c r="V336" s="108">
        <v>0</v>
      </c>
      <c r="W336" s="22" t="s">
        <v>40</v>
      </c>
      <c r="X336" s="88" t="str">
        <f t="shared" si="27"/>
        <v>1PEW2.7</v>
      </c>
      <c r="Y336" s="22" t="s">
        <v>32</v>
      </c>
      <c r="Z336" s="78"/>
    </row>
    <row r="337" spans="1:26" s="70" customFormat="1" ht="24.95" customHeight="1">
      <c r="A337" s="80"/>
      <c r="B337" s="99">
        <v>45413</v>
      </c>
      <c r="C337" s="135" t="s">
        <v>35</v>
      </c>
      <c r="D337" s="59" t="s">
        <v>20</v>
      </c>
      <c r="E337" s="14" t="str">
        <f t="shared" si="26"/>
        <v>V8A</v>
      </c>
      <c r="F337" s="111" t="s">
        <v>529</v>
      </c>
      <c r="G337" s="3" t="s">
        <v>26</v>
      </c>
      <c r="H337" s="111">
        <v>2.2999999999999998</v>
      </c>
      <c r="I337" s="22" t="s">
        <v>530</v>
      </c>
      <c r="J337" s="21" t="s">
        <v>207</v>
      </c>
      <c r="K337" s="55" t="s">
        <v>1052</v>
      </c>
      <c r="L337" s="125" t="s">
        <v>210</v>
      </c>
      <c r="M337" s="96"/>
      <c r="N337" s="45" t="s">
        <v>1053</v>
      </c>
      <c r="O337" s="23" t="s">
        <v>1054</v>
      </c>
      <c r="P337" s="23" t="s">
        <v>328</v>
      </c>
      <c r="Q337" s="88">
        <v>3</v>
      </c>
      <c r="R337" s="66">
        <v>45430</v>
      </c>
      <c r="S337" s="54">
        <v>45432</v>
      </c>
      <c r="T337" s="45" t="s">
        <v>19</v>
      </c>
      <c r="U337" s="100">
        <v>3</v>
      </c>
      <c r="V337" s="108">
        <v>0</v>
      </c>
      <c r="W337" s="22" t="s">
        <v>40</v>
      </c>
      <c r="X337" s="88" t="str">
        <f t="shared" si="27"/>
        <v>1PEW2.3</v>
      </c>
      <c r="Y337" s="22" t="s">
        <v>32</v>
      </c>
      <c r="Z337" s="78"/>
    </row>
    <row r="338" spans="1:26" s="70" customFormat="1" ht="24.95" customHeight="1">
      <c r="A338" s="80"/>
      <c r="B338" s="99">
        <v>45413</v>
      </c>
      <c r="C338" s="135" t="s">
        <v>35</v>
      </c>
      <c r="D338" s="59" t="s">
        <v>20</v>
      </c>
      <c r="E338" s="14" t="str">
        <f t="shared" si="26"/>
        <v>VOB</v>
      </c>
      <c r="F338" s="111" t="s">
        <v>200</v>
      </c>
      <c r="G338" s="15" t="s">
        <v>27</v>
      </c>
      <c r="H338" s="111">
        <v>0.7</v>
      </c>
      <c r="I338" s="22" t="s">
        <v>31</v>
      </c>
      <c r="J338" s="21" t="s">
        <v>1055</v>
      </c>
      <c r="K338" s="55" t="s">
        <v>1056</v>
      </c>
      <c r="L338" s="125" t="s">
        <v>809</v>
      </c>
      <c r="M338" s="96"/>
      <c r="N338" s="45" t="s">
        <v>1057</v>
      </c>
      <c r="O338" s="23" t="s">
        <v>29</v>
      </c>
      <c r="P338" s="23" t="s">
        <v>812</v>
      </c>
      <c r="Q338" s="88">
        <v>1</v>
      </c>
      <c r="R338" s="66">
        <v>45417</v>
      </c>
      <c r="S338" s="54">
        <v>45432</v>
      </c>
      <c r="T338" s="45" t="s">
        <v>19</v>
      </c>
      <c r="U338" s="100">
        <v>1</v>
      </c>
      <c r="V338" s="108">
        <v>0</v>
      </c>
      <c r="W338" s="22" t="s">
        <v>40</v>
      </c>
      <c r="X338" s="88" t="str">
        <f t="shared" si="27"/>
        <v>D2IDW-4-B-20.7</v>
      </c>
      <c r="Y338" s="22" t="s">
        <v>32</v>
      </c>
      <c r="Z338" s="78"/>
    </row>
    <row r="339" spans="1:26" s="70" customFormat="1" ht="24.95" customHeight="1">
      <c r="A339" s="80"/>
      <c r="B339" s="99">
        <v>45413</v>
      </c>
      <c r="C339" s="135" t="s">
        <v>35</v>
      </c>
      <c r="D339" s="59" t="s">
        <v>20</v>
      </c>
      <c r="E339" s="14" t="str">
        <f t="shared" si="26"/>
        <v>VOB</v>
      </c>
      <c r="F339" s="111" t="s">
        <v>200</v>
      </c>
      <c r="G339" s="15" t="s">
        <v>27</v>
      </c>
      <c r="H339" s="111">
        <v>0.7</v>
      </c>
      <c r="I339" s="22" t="s">
        <v>31</v>
      </c>
      <c r="J339" s="21" t="s">
        <v>1058</v>
      </c>
      <c r="K339" s="55" t="s">
        <v>1059</v>
      </c>
      <c r="L339" s="125" t="s">
        <v>1060</v>
      </c>
      <c r="M339" s="96"/>
      <c r="N339" s="45" t="s">
        <v>1061</v>
      </c>
      <c r="O339" s="23" t="s">
        <v>29</v>
      </c>
      <c r="P339" s="23" t="s">
        <v>1062</v>
      </c>
      <c r="Q339" s="88">
        <v>2</v>
      </c>
      <c r="R339" s="66">
        <v>45423</v>
      </c>
      <c r="S339" s="54">
        <v>45432</v>
      </c>
      <c r="T339" s="45" t="s">
        <v>19</v>
      </c>
      <c r="U339" s="100">
        <v>2</v>
      </c>
      <c r="V339" s="108">
        <v>0</v>
      </c>
      <c r="W339" s="22" t="s">
        <v>40</v>
      </c>
      <c r="X339" s="88" t="str">
        <f t="shared" si="27"/>
        <v>D2IDW-4-B-20.7</v>
      </c>
      <c r="Y339" s="22" t="s">
        <v>32</v>
      </c>
      <c r="Z339" s="78"/>
    </row>
    <row r="340" spans="1:26" s="70" customFormat="1" ht="24.95" customHeight="1">
      <c r="A340" s="80"/>
      <c r="B340" s="99">
        <v>45413</v>
      </c>
      <c r="C340" s="135" t="s">
        <v>35</v>
      </c>
      <c r="D340" s="59" t="s">
        <v>20</v>
      </c>
      <c r="E340" s="14" t="str">
        <f t="shared" si="26"/>
        <v>VOB</v>
      </c>
      <c r="F340" s="111" t="s">
        <v>200</v>
      </c>
      <c r="G340" s="15" t="s">
        <v>27</v>
      </c>
      <c r="H340" s="111">
        <v>0.7</v>
      </c>
      <c r="I340" s="22" t="s">
        <v>31</v>
      </c>
      <c r="J340" s="21" t="s">
        <v>1063</v>
      </c>
      <c r="K340" s="55" t="s">
        <v>1064</v>
      </c>
      <c r="L340" s="125" t="s">
        <v>1065</v>
      </c>
      <c r="M340" s="96"/>
      <c r="N340" s="45" t="s">
        <v>1066</v>
      </c>
      <c r="O340" s="23" t="s">
        <v>1067</v>
      </c>
      <c r="P340" s="23" t="s">
        <v>1068</v>
      </c>
      <c r="Q340" s="88">
        <v>6</v>
      </c>
      <c r="R340" s="66">
        <v>45423</v>
      </c>
      <c r="S340" s="54">
        <v>45432</v>
      </c>
      <c r="T340" s="45" t="s">
        <v>19</v>
      </c>
      <c r="U340" s="100">
        <v>6</v>
      </c>
      <c r="V340" s="108">
        <v>0</v>
      </c>
      <c r="W340" s="22" t="s">
        <v>40</v>
      </c>
      <c r="X340" s="88" t="str">
        <f t="shared" si="27"/>
        <v>D2IDW-4-B-20.7</v>
      </c>
      <c r="Y340" s="22" t="s">
        <v>32</v>
      </c>
      <c r="Z340" s="78"/>
    </row>
    <row r="341" spans="1:26" s="70" customFormat="1" ht="24.95" customHeight="1">
      <c r="A341" s="80"/>
      <c r="B341" s="99">
        <v>45413</v>
      </c>
      <c r="C341" s="135" t="s">
        <v>51</v>
      </c>
      <c r="D341" s="59" t="s">
        <v>20</v>
      </c>
      <c r="E341" s="14" t="str">
        <f>IF(B316="","",LEFT(N341,3))</f>
        <v>H77</v>
      </c>
      <c r="F341" s="111" t="s">
        <v>976</v>
      </c>
      <c r="G341" s="3" t="s">
        <v>26</v>
      </c>
      <c r="H341" s="111">
        <v>0.12</v>
      </c>
      <c r="I341" s="22" t="s">
        <v>25</v>
      </c>
      <c r="J341" s="21" t="s">
        <v>207</v>
      </c>
      <c r="K341" s="55" t="s">
        <v>977</v>
      </c>
      <c r="L341" s="125" t="s">
        <v>978</v>
      </c>
      <c r="M341" s="96"/>
      <c r="N341" s="45" t="s">
        <v>979</v>
      </c>
      <c r="O341" s="23" t="s">
        <v>30</v>
      </c>
      <c r="P341" s="45" t="s">
        <v>980</v>
      </c>
      <c r="Q341" s="88">
        <v>3</v>
      </c>
      <c r="R341" s="54">
        <v>45422</v>
      </c>
      <c r="S341" s="54">
        <v>45425</v>
      </c>
      <c r="T341" s="45" t="s">
        <v>19</v>
      </c>
      <c r="U341" s="100">
        <v>3</v>
      </c>
      <c r="V341" s="108">
        <v>0</v>
      </c>
      <c r="W341" s="22" t="s">
        <v>40</v>
      </c>
      <c r="X341" s="88" t="str">
        <f t="shared" si="27"/>
        <v>1FBWHCS0.12</v>
      </c>
      <c r="Y341" s="22" t="s">
        <v>32</v>
      </c>
      <c r="Z341" s="78"/>
    </row>
    <row r="342" spans="1:26" s="70" customFormat="1" ht="24.95" customHeight="1">
      <c r="A342" s="80"/>
      <c r="B342" s="99">
        <v>45413</v>
      </c>
      <c r="C342" s="135" t="s">
        <v>51</v>
      </c>
      <c r="D342" s="59" t="s">
        <v>20</v>
      </c>
      <c r="E342" s="14" t="str">
        <f>IF(B317="","",LEFT(N342,3))</f>
        <v>H1B</v>
      </c>
      <c r="F342" s="111" t="s">
        <v>52</v>
      </c>
      <c r="G342" s="3" t="s">
        <v>26</v>
      </c>
      <c r="H342" s="111">
        <v>0.26</v>
      </c>
      <c r="I342" s="22" t="s">
        <v>43</v>
      </c>
      <c r="J342" s="21" t="s">
        <v>162</v>
      </c>
      <c r="K342" s="55" t="s">
        <v>222</v>
      </c>
      <c r="L342" s="125" t="s">
        <v>981</v>
      </c>
      <c r="M342" s="96"/>
      <c r="N342" s="45" t="s">
        <v>982</v>
      </c>
      <c r="O342" s="23" t="s">
        <v>30</v>
      </c>
      <c r="P342" s="88">
        <v>2</v>
      </c>
      <c r="Q342" s="88">
        <v>1</v>
      </c>
      <c r="R342" s="66">
        <v>45417</v>
      </c>
      <c r="S342" s="54">
        <v>45425</v>
      </c>
      <c r="T342" s="45" t="s">
        <v>19</v>
      </c>
      <c r="U342" s="100">
        <v>1</v>
      </c>
      <c r="V342" s="108">
        <v>0</v>
      </c>
      <c r="W342" s="22" t="s">
        <v>40</v>
      </c>
      <c r="X342" s="88" t="str">
        <f t="shared" si="27"/>
        <v>D2IDW4-B-20.26</v>
      </c>
      <c r="Y342" s="22" t="s">
        <v>32</v>
      </c>
      <c r="Z342" s="78"/>
    </row>
    <row r="343" spans="1:26" s="70" customFormat="1" ht="24.95" customHeight="1">
      <c r="A343" s="80"/>
      <c r="B343" s="99">
        <v>45413</v>
      </c>
      <c r="C343" s="135" t="s">
        <v>51</v>
      </c>
      <c r="D343" s="59" t="s">
        <v>20</v>
      </c>
      <c r="E343" s="14" t="str">
        <f>IF(B318="","",LEFT(N343,3))</f>
        <v>H77</v>
      </c>
      <c r="F343" s="111" t="s">
        <v>976</v>
      </c>
      <c r="G343" s="3" t="s">
        <v>26</v>
      </c>
      <c r="H343" s="111">
        <v>0.12</v>
      </c>
      <c r="I343" s="22" t="s">
        <v>983</v>
      </c>
      <c r="J343" s="21" t="s">
        <v>162</v>
      </c>
      <c r="K343" s="55" t="s">
        <v>984</v>
      </c>
      <c r="L343" s="125" t="s">
        <v>985</v>
      </c>
      <c r="M343" s="96"/>
      <c r="N343" s="45" t="s">
        <v>986</v>
      </c>
      <c r="O343" s="23" t="s">
        <v>30</v>
      </c>
      <c r="P343" s="88">
        <v>12</v>
      </c>
      <c r="Q343" s="88">
        <v>1</v>
      </c>
      <c r="R343" s="66">
        <v>45420</v>
      </c>
      <c r="S343" s="54">
        <v>45425</v>
      </c>
      <c r="T343" s="45" t="s">
        <v>19</v>
      </c>
      <c r="U343" s="100">
        <v>1</v>
      </c>
      <c r="V343" s="108">
        <v>0</v>
      </c>
      <c r="W343" s="22" t="s">
        <v>40</v>
      </c>
      <c r="X343" s="88" t="str">
        <f t="shared" si="27"/>
        <v>1FBWHCS0.12</v>
      </c>
      <c r="Y343" s="22" t="s">
        <v>32</v>
      </c>
      <c r="Z343" s="78"/>
    </row>
    <row r="344" spans="1:26" s="70" customFormat="1" ht="24.95" customHeight="1">
      <c r="A344" s="80"/>
      <c r="B344" s="99">
        <v>45413</v>
      </c>
      <c r="C344" s="135" t="s">
        <v>51</v>
      </c>
      <c r="D344" s="59" t="s">
        <v>20</v>
      </c>
      <c r="E344" s="14" t="str">
        <f>IF(B319="","",LEFT(N344,3))</f>
        <v>H1A</v>
      </c>
      <c r="F344" s="111" t="s">
        <v>52</v>
      </c>
      <c r="G344" s="3" t="s">
        <v>26</v>
      </c>
      <c r="H344" s="111">
        <v>0.26</v>
      </c>
      <c r="I344" s="22" t="s">
        <v>43</v>
      </c>
      <c r="J344" s="21" t="s">
        <v>299</v>
      </c>
      <c r="K344" s="55" t="s">
        <v>987</v>
      </c>
      <c r="L344" s="125" t="s">
        <v>990</v>
      </c>
      <c r="M344" s="96"/>
      <c r="N344" s="45" t="s">
        <v>988</v>
      </c>
      <c r="O344" s="23" t="s">
        <v>30</v>
      </c>
      <c r="P344" s="88">
        <v>1</v>
      </c>
      <c r="Q344" s="88">
        <v>1</v>
      </c>
      <c r="R344" s="66">
        <v>45421</v>
      </c>
      <c r="S344" s="54">
        <v>45425</v>
      </c>
      <c r="T344" s="45" t="s">
        <v>19</v>
      </c>
      <c r="U344" s="100">
        <v>1</v>
      </c>
      <c r="V344" s="108">
        <v>0</v>
      </c>
      <c r="W344" s="22" t="s">
        <v>40</v>
      </c>
      <c r="X344" s="88" t="str">
        <f t="shared" si="27"/>
        <v>D2IDW4-B-20.26</v>
      </c>
      <c r="Y344" s="22" t="s">
        <v>32</v>
      </c>
      <c r="Z344" s="78"/>
    </row>
    <row r="345" spans="1:26" s="70" customFormat="1" ht="24.95" customHeight="1">
      <c r="A345" s="80"/>
      <c r="B345" s="99">
        <v>45413</v>
      </c>
      <c r="C345" s="135" t="s">
        <v>51</v>
      </c>
      <c r="D345" s="59" t="s">
        <v>20</v>
      </c>
      <c r="E345" s="14" t="str">
        <f>IF(B320="","",LEFT(N345,3))</f>
        <v>H77</v>
      </c>
      <c r="F345" s="111" t="s">
        <v>976</v>
      </c>
      <c r="G345" s="3" t="s">
        <v>26</v>
      </c>
      <c r="H345" s="111">
        <v>0.12</v>
      </c>
      <c r="I345" s="22" t="s">
        <v>25</v>
      </c>
      <c r="J345" s="21" t="s">
        <v>207</v>
      </c>
      <c r="K345" s="55" t="s">
        <v>989</v>
      </c>
      <c r="L345" s="125" t="s">
        <v>991</v>
      </c>
      <c r="M345" s="96"/>
      <c r="N345" s="45" t="s">
        <v>992</v>
      </c>
      <c r="O345" s="23" t="s">
        <v>29</v>
      </c>
      <c r="P345" s="88">
        <v>1.8</v>
      </c>
      <c r="Q345" s="88">
        <v>2</v>
      </c>
      <c r="R345" s="66">
        <v>45420</v>
      </c>
      <c r="S345" s="54">
        <v>45425</v>
      </c>
      <c r="T345" s="45" t="s">
        <v>19</v>
      </c>
      <c r="U345" s="100">
        <v>2</v>
      </c>
      <c r="V345" s="108">
        <v>0</v>
      </c>
      <c r="W345" s="22" t="s">
        <v>40</v>
      </c>
      <c r="X345" s="88" t="str">
        <f t="shared" si="27"/>
        <v>1FBWHCS0.12</v>
      </c>
      <c r="Y345" s="22" t="s">
        <v>32</v>
      </c>
      <c r="Z345" s="78"/>
    </row>
    <row r="346" spans="1:26" s="70" customFormat="1" ht="24.95" customHeight="1">
      <c r="A346" s="80"/>
      <c r="B346" s="99">
        <v>45413</v>
      </c>
      <c r="C346" s="135" t="s">
        <v>51</v>
      </c>
      <c r="D346" s="59" t="s">
        <v>20</v>
      </c>
      <c r="E346" s="14" t="str">
        <f t="shared" si="26"/>
        <v>H1A</v>
      </c>
      <c r="F346" s="111" t="s">
        <v>52</v>
      </c>
      <c r="G346" s="3" t="s">
        <v>26</v>
      </c>
      <c r="H346" s="111">
        <v>0.26</v>
      </c>
      <c r="I346" s="22" t="s">
        <v>43</v>
      </c>
      <c r="J346" s="21" t="s">
        <v>993</v>
      </c>
      <c r="K346" s="55" t="s">
        <v>994</v>
      </c>
      <c r="L346" s="125" t="s">
        <v>990</v>
      </c>
      <c r="M346" s="96"/>
      <c r="N346" s="45" t="s">
        <v>995</v>
      </c>
      <c r="O346" s="23" t="s">
        <v>30</v>
      </c>
      <c r="P346" s="88">
        <v>3</v>
      </c>
      <c r="Q346" s="88">
        <v>1</v>
      </c>
      <c r="R346" s="66">
        <v>45420</v>
      </c>
      <c r="S346" s="54">
        <v>45425</v>
      </c>
      <c r="T346" s="45" t="s">
        <v>19</v>
      </c>
      <c r="U346" s="100">
        <v>1</v>
      </c>
      <c r="V346" s="108">
        <v>0</v>
      </c>
      <c r="W346" s="22" t="s">
        <v>40</v>
      </c>
      <c r="X346" s="88" t="str">
        <f t="shared" si="27"/>
        <v>D2IDW4-B-20.26</v>
      </c>
      <c r="Y346" s="22" t="s">
        <v>32</v>
      </c>
      <c r="Z346" s="78"/>
    </row>
    <row r="347" spans="1:26" s="70" customFormat="1" ht="24.95" customHeight="1">
      <c r="A347" s="80"/>
      <c r="B347" s="99">
        <v>45413</v>
      </c>
      <c r="C347" s="135" t="s">
        <v>51</v>
      </c>
      <c r="D347" s="59" t="s">
        <v>20</v>
      </c>
      <c r="E347" s="14" t="str">
        <f t="shared" ref="E347:E413" si="30">IF(B342="","",LEFT(N347,3))</f>
        <v>H76</v>
      </c>
      <c r="F347" s="111" t="s">
        <v>301</v>
      </c>
      <c r="G347" s="3" t="s">
        <v>26</v>
      </c>
      <c r="H347" s="111">
        <v>0.19</v>
      </c>
      <c r="I347" s="22" t="s">
        <v>302</v>
      </c>
      <c r="J347" s="21" t="s">
        <v>221</v>
      </c>
      <c r="K347" s="55" t="s">
        <v>222</v>
      </c>
      <c r="L347" s="125" t="s">
        <v>996</v>
      </c>
      <c r="M347" s="96"/>
      <c r="N347" s="45" t="s">
        <v>997</v>
      </c>
      <c r="O347" s="23" t="s">
        <v>30</v>
      </c>
      <c r="P347" s="45" t="s">
        <v>998</v>
      </c>
      <c r="Q347" s="88">
        <v>3</v>
      </c>
      <c r="R347" s="66">
        <v>45422</v>
      </c>
      <c r="S347" s="54">
        <v>45425</v>
      </c>
      <c r="T347" s="45" t="s">
        <v>19</v>
      </c>
      <c r="U347" s="100">
        <v>3</v>
      </c>
      <c r="V347" s="108">
        <v>0</v>
      </c>
      <c r="W347" s="22" t="s">
        <v>40</v>
      </c>
      <c r="X347" s="88" t="str">
        <f t="shared" ref="X347:X420" si="31">F347&amp;H347</f>
        <v>2-AIW0.19</v>
      </c>
      <c r="Y347" s="22" t="s">
        <v>32</v>
      </c>
      <c r="Z347" s="78"/>
    </row>
    <row r="348" spans="1:26" s="70" customFormat="1" ht="24.95" customHeight="1">
      <c r="A348" s="80"/>
      <c r="B348" s="99">
        <v>45413</v>
      </c>
      <c r="C348" s="135" t="s">
        <v>51</v>
      </c>
      <c r="D348" s="59" t="s">
        <v>20</v>
      </c>
      <c r="E348" s="14" t="str">
        <f t="shared" si="30"/>
        <v>H4B</v>
      </c>
      <c r="F348" s="111" t="s">
        <v>24</v>
      </c>
      <c r="G348" s="3" t="s">
        <v>26</v>
      </c>
      <c r="H348" s="111">
        <v>0.35</v>
      </c>
      <c r="I348" s="22" t="s">
        <v>487</v>
      </c>
      <c r="J348" s="21" t="s">
        <v>287</v>
      </c>
      <c r="K348" s="125" t="s">
        <v>318</v>
      </c>
      <c r="L348" s="125" t="s">
        <v>999</v>
      </c>
      <c r="M348" s="96"/>
      <c r="N348" s="45" t="s">
        <v>1000</v>
      </c>
      <c r="O348" s="23" t="s">
        <v>29</v>
      </c>
      <c r="P348" s="88">
        <v>1</v>
      </c>
      <c r="Q348" s="88">
        <v>1</v>
      </c>
      <c r="R348" s="66">
        <v>45421</v>
      </c>
      <c r="S348" s="54">
        <v>45425</v>
      </c>
      <c r="T348" s="45" t="s">
        <v>19</v>
      </c>
      <c r="U348" s="100">
        <v>1</v>
      </c>
      <c r="V348" s="108">
        <v>0</v>
      </c>
      <c r="W348" s="22" t="s">
        <v>40</v>
      </c>
      <c r="X348" s="88" t="str">
        <f t="shared" si="31"/>
        <v>2PEW0.35</v>
      </c>
      <c r="Y348" s="22" t="s">
        <v>32</v>
      </c>
      <c r="Z348" s="78"/>
    </row>
    <row r="349" spans="1:26" s="70" customFormat="1" ht="24.95" customHeight="1">
      <c r="A349" s="80"/>
      <c r="B349" s="99">
        <v>45413</v>
      </c>
      <c r="C349" s="135" t="s">
        <v>51</v>
      </c>
      <c r="D349" s="59" t="s">
        <v>20</v>
      </c>
      <c r="E349" s="14" t="str">
        <f t="shared" si="30"/>
        <v>H2A</v>
      </c>
      <c r="F349" s="111" t="s">
        <v>52</v>
      </c>
      <c r="G349" s="3" t="s">
        <v>26</v>
      </c>
      <c r="H349" s="111">
        <v>0.26</v>
      </c>
      <c r="I349" s="22" t="s">
        <v>31</v>
      </c>
      <c r="J349" s="21" t="s">
        <v>299</v>
      </c>
      <c r="K349" s="55" t="s">
        <v>1001</v>
      </c>
      <c r="L349" s="125" t="s">
        <v>57</v>
      </c>
      <c r="M349" s="96"/>
      <c r="N349" s="45" t="s">
        <v>1002</v>
      </c>
      <c r="O349" s="23" t="s">
        <v>30</v>
      </c>
      <c r="P349" s="88">
        <v>2</v>
      </c>
      <c r="Q349" s="88">
        <v>1</v>
      </c>
      <c r="R349" s="66">
        <v>45419</v>
      </c>
      <c r="S349" s="54">
        <v>45425</v>
      </c>
      <c r="T349" s="45" t="s">
        <v>19</v>
      </c>
      <c r="U349" s="100">
        <v>1</v>
      </c>
      <c r="V349" s="108">
        <v>0</v>
      </c>
      <c r="W349" s="22" t="s">
        <v>40</v>
      </c>
      <c r="X349" s="88" t="str">
        <f t="shared" si="31"/>
        <v>D2IDW4-B-20.26</v>
      </c>
      <c r="Y349" s="22" t="s">
        <v>32</v>
      </c>
      <c r="Z349" s="78"/>
    </row>
    <row r="350" spans="1:26" s="70" customFormat="1" ht="24.95" customHeight="1">
      <c r="A350" s="80"/>
      <c r="B350" s="99">
        <v>45413</v>
      </c>
      <c r="C350" s="135" t="s">
        <v>51</v>
      </c>
      <c r="D350" s="59" t="s">
        <v>20</v>
      </c>
      <c r="E350" s="14" t="str">
        <f t="shared" si="30"/>
        <v>H4B</v>
      </c>
      <c r="F350" s="111" t="s">
        <v>24</v>
      </c>
      <c r="G350" s="3" t="s">
        <v>26</v>
      </c>
      <c r="H350" s="111">
        <v>0.35</v>
      </c>
      <c r="I350" s="22" t="s">
        <v>487</v>
      </c>
      <c r="J350" s="21" t="s">
        <v>287</v>
      </c>
      <c r="K350" s="130"/>
      <c r="L350" s="125" t="s">
        <v>1003</v>
      </c>
      <c r="M350" s="96"/>
      <c r="N350" s="45" t="s">
        <v>1000</v>
      </c>
      <c r="O350" s="23" t="s">
        <v>30</v>
      </c>
      <c r="P350" s="88">
        <v>1</v>
      </c>
      <c r="Q350" s="88">
        <v>1</v>
      </c>
      <c r="R350" s="66">
        <v>45421</v>
      </c>
      <c r="S350" s="54">
        <v>45425</v>
      </c>
      <c r="T350" s="45" t="s">
        <v>19</v>
      </c>
      <c r="U350" s="100">
        <v>1</v>
      </c>
      <c r="V350" s="108">
        <v>0</v>
      </c>
      <c r="W350" s="22" t="s">
        <v>40</v>
      </c>
      <c r="X350" s="88" t="str">
        <f t="shared" si="31"/>
        <v>2PEW0.35</v>
      </c>
      <c r="Y350" s="22" t="s">
        <v>32</v>
      </c>
      <c r="Z350" s="78"/>
    </row>
    <row r="351" spans="1:26" s="70" customFormat="1" ht="24.95" customHeight="1">
      <c r="A351" s="80"/>
      <c r="B351" s="99">
        <v>45413</v>
      </c>
      <c r="C351" s="135" t="s">
        <v>51</v>
      </c>
      <c r="D351" s="59" t="s">
        <v>20</v>
      </c>
      <c r="E351" s="14" t="str">
        <f t="shared" si="30"/>
        <v>H1A</v>
      </c>
      <c r="F351" s="111" t="s">
        <v>52</v>
      </c>
      <c r="G351" s="3" t="s">
        <v>26</v>
      </c>
      <c r="H351" s="111">
        <v>0.26</v>
      </c>
      <c r="I351" s="22" t="s">
        <v>43</v>
      </c>
      <c r="J351" s="21" t="s">
        <v>299</v>
      </c>
      <c r="K351" s="55" t="s">
        <v>1069</v>
      </c>
      <c r="L351" s="125" t="s">
        <v>57</v>
      </c>
      <c r="M351" s="96"/>
      <c r="N351" s="45" t="s">
        <v>1070</v>
      </c>
      <c r="O351" s="23" t="s">
        <v>30</v>
      </c>
      <c r="P351" s="88">
        <v>1</v>
      </c>
      <c r="Q351" s="88">
        <v>1</v>
      </c>
      <c r="R351" s="66">
        <v>45422</v>
      </c>
      <c r="S351" s="54">
        <v>45432</v>
      </c>
      <c r="T351" s="45" t="s">
        <v>19</v>
      </c>
      <c r="U351" s="100">
        <v>1</v>
      </c>
      <c r="V351" s="108">
        <v>0</v>
      </c>
      <c r="W351" s="22" t="s">
        <v>40</v>
      </c>
      <c r="X351" s="88" t="str">
        <f t="shared" si="31"/>
        <v>D2IDW4-B-20.26</v>
      </c>
      <c r="Y351" s="22" t="s">
        <v>32</v>
      </c>
      <c r="Z351" s="78"/>
    </row>
    <row r="352" spans="1:26" s="70" customFormat="1" ht="24.95" customHeight="1">
      <c r="A352" s="80"/>
      <c r="B352" s="99">
        <v>45413</v>
      </c>
      <c r="C352" s="135" t="s">
        <v>51</v>
      </c>
      <c r="D352" s="59" t="s">
        <v>20</v>
      </c>
      <c r="E352" s="14" t="str">
        <f t="shared" si="30"/>
        <v>H1B</v>
      </c>
      <c r="F352" s="111" t="s">
        <v>52</v>
      </c>
      <c r="G352" s="3" t="s">
        <v>26</v>
      </c>
      <c r="H352" s="111">
        <v>0.26</v>
      </c>
      <c r="I352" s="22" t="s">
        <v>43</v>
      </c>
      <c r="J352" s="21" t="s">
        <v>53</v>
      </c>
      <c r="K352" s="55" t="s">
        <v>1071</v>
      </c>
      <c r="L352" s="125" t="s">
        <v>438</v>
      </c>
      <c r="M352" s="96"/>
      <c r="N352" s="45" t="s">
        <v>1072</v>
      </c>
      <c r="O352" s="23" t="s">
        <v>30</v>
      </c>
      <c r="P352" s="88">
        <v>1</v>
      </c>
      <c r="Q352" s="88">
        <v>1</v>
      </c>
      <c r="R352" s="66">
        <v>45423</v>
      </c>
      <c r="S352" s="54">
        <v>45432</v>
      </c>
      <c r="T352" s="45" t="s">
        <v>19</v>
      </c>
      <c r="U352" s="100">
        <v>1</v>
      </c>
      <c r="V352" s="108">
        <v>0</v>
      </c>
      <c r="W352" s="22" t="s">
        <v>40</v>
      </c>
      <c r="X352" s="88" t="str">
        <f t="shared" si="31"/>
        <v>D2IDW4-B-20.26</v>
      </c>
      <c r="Y352" s="22" t="s">
        <v>32</v>
      </c>
      <c r="Z352" s="78"/>
    </row>
    <row r="353" spans="1:26" s="70" customFormat="1" ht="24.95" customHeight="1">
      <c r="A353" s="80"/>
      <c r="B353" s="99">
        <v>45413</v>
      </c>
      <c r="C353" s="135" t="s">
        <v>51</v>
      </c>
      <c r="D353" s="59" t="s">
        <v>20</v>
      </c>
      <c r="E353" s="14" t="str">
        <f t="shared" si="30"/>
        <v>H1B</v>
      </c>
      <c r="F353" s="111" t="s">
        <v>52</v>
      </c>
      <c r="G353" s="15" t="s">
        <v>27</v>
      </c>
      <c r="H353" s="111">
        <v>0.26</v>
      </c>
      <c r="I353" s="22" t="s">
        <v>43</v>
      </c>
      <c r="J353" s="21" t="s">
        <v>1073</v>
      </c>
      <c r="K353" s="55" t="s">
        <v>1074</v>
      </c>
      <c r="L353" s="125" t="s">
        <v>1075</v>
      </c>
      <c r="M353" s="96"/>
      <c r="N353" s="45" t="s">
        <v>1076</v>
      </c>
      <c r="O353" s="23" t="s">
        <v>1077</v>
      </c>
      <c r="P353" s="45" t="s">
        <v>38</v>
      </c>
      <c r="Q353" s="88">
        <v>10</v>
      </c>
      <c r="R353" s="66">
        <v>45428</v>
      </c>
      <c r="S353" s="54">
        <v>45432</v>
      </c>
      <c r="T353" s="45" t="s">
        <v>19</v>
      </c>
      <c r="U353" s="100">
        <v>10</v>
      </c>
      <c r="V353" s="108">
        <v>0</v>
      </c>
      <c r="W353" s="22" t="s">
        <v>40</v>
      </c>
      <c r="X353" s="88" t="str">
        <f t="shared" si="31"/>
        <v>D2IDW4-B-20.26</v>
      </c>
      <c r="Y353" s="22" t="s">
        <v>32</v>
      </c>
      <c r="Z353" s="78"/>
    </row>
    <row r="354" spans="1:26" s="70" customFormat="1" ht="24.95" customHeight="1">
      <c r="A354" s="80"/>
      <c r="B354" s="99">
        <v>45413</v>
      </c>
      <c r="C354" s="135" t="s">
        <v>51</v>
      </c>
      <c r="D354" s="59" t="s">
        <v>20</v>
      </c>
      <c r="E354" s="14" t="str">
        <f t="shared" si="30"/>
        <v>H2B</v>
      </c>
      <c r="F354" s="111" t="s">
        <v>52</v>
      </c>
      <c r="G354" s="15" t="s">
        <v>27</v>
      </c>
      <c r="H354" s="111">
        <v>0.31</v>
      </c>
      <c r="I354" s="22" t="s">
        <v>31</v>
      </c>
      <c r="J354" s="21" t="s">
        <v>1073</v>
      </c>
      <c r="K354" s="55" t="s">
        <v>1074</v>
      </c>
      <c r="L354" s="125" t="s">
        <v>1075</v>
      </c>
      <c r="M354" s="96"/>
      <c r="N354" s="45" t="s">
        <v>1078</v>
      </c>
      <c r="O354" s="23" t="s">
        <v>485</v>
      </c>
      <c r="P354" s="45" t="s">
        <v>1079</v>
      </c>
      <c r="Q354" s="88">
        <v>11</v>
      </c>
      <c r="R354" s="66">
        <v>45428</v>
      </c>
      <c r="S354" s="54">
        <v>45432</v>
      </c>
      <c r="T354" s="45" t="s">
        <v>19</v>
      </c>
      <c r="U354" s="100">
        <v>11</v>
      </c>
      <c r="V354" s="108">
        <v>0</v>
      </c>
      <c r="W354" s="22" t="s">
        <v>40</v>
      </c>
      <c r="X354" s="88" t="str">
        <f t="shared" si="31"/>
        <v>D2IDW4-B-20.31</v>
      </c>
      <c r="Y354" s="22" t="s">
        <v>32</v>
      </c>
      <c r="Z354" s="78"/>
    </row>
    <row r="355" spans="1:26" s="70" customFormat="1" ht="24.95" customHeight="1">
      <c r="A355" s="80"/>
      <c r="B355" s="99">
        <v>45413</v>
      </c>
      <c r="C355" s="135" t="s">
        <v>51</v>
      </c>
      <c r="D355" s="59" t="s">
        <v>20</v>
      </c>
      <c r="E355" s="14" t="str">
        <f t="shared" si="30"/>
        <v>H2A</v>
      </c>
      <c r="F355" s="111" t="s">
        <v>52</v>
      </c>
      <c r="G355" s="15" t="s">
        <v>27</v>
      </c>
      <c r="H355" s="111">
        <v>0.26</v>
      </c>
      <c r="I355" s="22" t="s">
        <v>31</v>
      </c>
      <c r="J355" s="21" t="s">
        <v>1073</v>
      </c>
      <c r="K355" s="55" t="s">
        <v>1074</v>
      </c>
      <c r="L355" s="125" t="s">
        <v>1075</v>
      </c>
      <c r="M355" s="96"/>
      <c r="N355" s="45" t="s">
        <v>1080</v>
      </c>
      <c r="O355" s="23" t="s">
        <v>30</v>
      </c>
      <c r="P355" s="45" t="s">
        <v>38</v>
      </c>
      <c r="Q355" s="88">
        <v>5</v>
      </c>
      <c r="R355" s="66">
        <v>45427</v>
      </c>
      <c r="S355" s="54">
        <v>45432</v>
      </c>
      <c r="T355" s="45" t="s">
        <v>19</v>
      </c>
      <c r="U355" s="100">
        <v>5</v>
      </c>
      <c r="V355" s="108">
        <v>0</v>
      </c>
      <c r="W355" s="22" t="s">
        <v>40</v>
      </c>
      <c r="X355" s="88" t="str">
        <f t="shared" si="31"/>
        <v>D2IDW4-B-20.26</v>
      </c>
      <c r="Y355" s="22" t="s">
        <v>32</v>
      </c>
      <c r="Z355" s="78"/>
    </row>
    <row r="356" spans="1:26" s="70" customFormat="1" ht="24.95" customHeight="1">
      <c r="A356" s="80"/>
      <c r="B356" s="99">
        <v>45413</v>
      </c>
      <c r="C356" s="135" t="s">
        <v>51</v>
      </c>
      <c r="D356" s="59" t="s">
        <v>20</v>
      </c>
      <c r="E356" s="14" t="str">
        <f t="shared" si="30"/>
        <v>H1A</v>
      </c>
      <c r="F356" s="111" t="s">
        <v>52</v>
      </c>
      <c r="G356" s="15" t="s">
        <v>27</v>
      </c>
      <c r="H356" s="111">
        <v>0.26</v>
      </c>
      <c r="I356" s="22" t="s">
        <v>43</v>
      </c>
      <c r="J356" s="21" t="s">
        <v>1081</v>
      </c>
      <c r="K356" s="55" t="s">
        <v>1074</v>
      </c>
      <c r="L356" s="125" t="s">
        <v>1075</v>
      </c>
      <c r="M356" s="96"/>
      <c r="N356" s="45" t="s">
        <v>1082</v>
      </c>
      <c r="O356" s="23" t="s">
        <v>30</v>
      </c>
      <c r="P356" s="45" t="s">
        <v>1083</v>
      </c>
      <c r="Q356" s="88">
        <v>4</v>
      </c>
      <c r="R356" s="66">
        <v>45428</v>
      </c>
      <c r="S356" s="54">
        <v>45432</v>
      </c>
      <c r="T356" s="45" t="s">
        <v>19</v>
      </c>
      <c r="U356" s="100">
        <v>4</v>
      </c>
      <c r="V356" s="108">
        <v>0</v>
      </c>
      <c r="W356" s="22" t="s">
        <v>40</v>
      </c>
      <c r="X356" s="88" t="str">
        <f t="shared" si="31"/>
        <v>D2IDW4-B-20.26</v>
      </c>
      <c r="Y356" s="22" t="s">
        <v>32</v>
      </c>
      <c r="Z356" s="78"/>
    </row>
    <row r="357" spans="1:26" s="70" customFormat="1" ht="24.95" customHeight="1">
      <c r="A357" s="80"/>
      <c r="B357" s="99">
        <v>45413</v>
      </c>
      <c r="C357" s="135" t="s">
        <v>51</v>
      </c>
      <c r="D357" s="59" t="s">
        <v>20</v>
      </c>
      <c r="E357" s="14" t="str">
        <f t="shared" si="30"/>
        <v>H3B</v>
      </c>
      <c r="F357" s="111" t="s">
        <v>648</v>
      </c>
      <c r="G357" s="3" t="s">
        <v>26</v>
      </c>
      <c r="H357" s="111">
        <v>0.28999999999999998</v>
      </c>
      <c r="I357" s="22" t="s">
        <v>286</v>
      </c>
      <c r="J357" s="21" t="s">
        <v>1084</v>
      </c>
      <c r="K357" s="55" t="s">
        <v>1085</v>
      </c>
      <c r="L357" s="125" t="s">
        <v>1086</v>
      </c>
      <c r="M357" s="96"/>
      <c r="N357" s="45" t="s">
        <v>1087</v>
      </c>
      <c r="O357" s="23" t="s">
        <v>263</v>
      </c>
      <c r="P357" s="88">
        <v>1</v>
      </c>
      <c r="Q357" s="88">
        <v>1</v>
      </c>
      <c r="R357" s="66">
        <v>45433</v>
      </c>
      <c r="S357" s="54">
        <v>45440</v>
      </c>
      <c r="T357" s="45" t="s">
        <v>19</v>
      </c>
      <c r="U357" s="100">
        <v>1</v>
      </c>
      <c r="V357" s="108">
        <v>0</v>
      </c>
      <c r="W357" s="22" t="s">
        <v>40</v>
      </c>
      <c r="X357" s="88" t="str">
        <f t="shared" si="31"/>
        <v>1AIW0.29</v>
      </c>
      <c r="Y357" s="22" t="s">
        <v>32</v>
      </c>
      <c r="Z357" s="78"/>
    </row>
    <row r="358" spans="1:26" s="70" customFormat="1" ht="24.95" customHeight="1">
      <c r="A358" s="80"/>
      <c r="B358" s="99">
        <v>45413</v>
      </c>
      <c r="C358" s="135" t="s">
        <v>51</v>
      </c>
      <c r="D358" s="59" t="s">
        <v>20</v>
      </c>
      <c r="E358" s="14" t="str">
        <f t="shared" si="30"/>
        <v>H1A</v>
      </c>
      <c r="F358" s="111" t="s">
        <v>52</v>
      </c>
      <c r="G358" s="3" t="s">
        <v>26</v>
      </c>
      <c r="H358" s="111">
        <v>0.26</v>
      </c>
      <c r="I358" s="22" t="s">
        <v>43</v>
      </c>
      <c r="J358" s="21" t="s">
        <v>1088</v>
      </c>
      <c r="L358" s="55" t="s">
        <v>57</v>
      </c>
      <c r="M358" s="96"/>
      <c r="N358" s="45" t="s">
        <v>1089</v>
      </c>
      <c r="O358" s="23" t="s">
        <v>30</v>
      </c>
      <c r="P358" s="88">
        <v>3</v>
      </c>
      <c r="Q358" s="88">
        <v>1</v>
      </c>
      <c r="R358" s="66">
        <v>45429</v>
      </c>
      <c r="S358" s="54">
        <v>45440</v>
      </c>
      <c r="T358" s="45" t="s">
        <v>19</v>
      </c>
      <c r="U358" s="100">
        <v>1</v>
      </c>
      <c r="V358" s="108">
        <v>0</v>
      </c>
      <c r="W358" s="22" t="s">
        <v>40</v>
      </c>
      <c r="X358" s="88" t="str">
        <f t="shared" si="31"/>
        <v>D2IDW4-B-20.26</v>
      </c>
      <c r="Y358" s="22" t="s">
        <v>32</v>
      </c>
      <c r="Z358" s="78"/>
    </row>
    <row r="359" spans="1:26" s="70" customFormat="1" ht="24.95" customHeight="1">
      <c r="A359" s="80"/>
      <c r="B359" s="99">
        <v>45413</v>
      </c>
      <c r="C359" s="135" t="s">
        <v>51</v>
      </c>
      <c r="D359" s="59" t="s">
        <v>20</v>
      </c>
      <c r="E359" s="14" t="str">
        <f t="shared" si="30"/>
        <v>H4A</v>
      </c>
      <c r="F359" s="111" t="s">
        <v>435</v>
      </c>
      <c r="G359" s="3" t="s">
        <v>26</v>
      </c>
      <c r="H359" s="111">
        <v>0.27</v>
      </c>
      <c r="I359" s="22" t="s">
        <v>302</v>
      </c>
      <c r="J359" s="21" t="s">
        <v>1084</v>
      </c>
      <c r="K359" s="55" t="s">
        <v>1090</v>
      </c>
      <c r="L359" s="125" t="s">
        <v>1091</v>
      </c>
      <c r="M359" s="96"/>
      <c r="N359" s="45" t="s">
        <v>1092</v>
      </c>
      <c r="O359" s="23" t="s">
        <v>263</v>
      </c>
      <c r="P359" s="88">
        <v>1</v>
      </c>
      <c r="Q359" s="88">
        <v>1</v>
      </c>
      <c r="R359" s="66">
        <v>45432</v>
      </c>
      <c r="S359" s="54">
        <v>45440</v>
      </c>
      <c r="T359" s="45" t="s">
        <v>19</v>
      </c>
      <c r="U359" s="100">
        <v>1</v>
      </c>
      <c r="V359" s="108">
        <v>0</v>
      </c>
      <c r="W359" s="22" t="s">
        <v>40</v>
      </c>
      <c r="X359" s="88" t="str">
        <f t="shared" si="31"/>
        <v>2DHWH0.27</v>
      </c>
      <c r="Y359" s="22" t="s">
        <v>32</v>
      </c>
      <c r="Z359" s="78"/>
    </row>
    <row r="360" spans="1:26" s="70" customFormat="1" ht="24.95" customHeight="1">
      <c r="A360" s="80"/>
      <c r="B360" s="99">
        <v>45413</v>
      </c>
      <c r="C360" s="135" t="s">
        <v>51</v>
      </c>
      <c r="D360" s="59" t="s">
        <v>20</v>
      </c>
      <c r="E360" s="14" t="str">
        <f t="shared" si="30"/>
        <v>H5A</v>
      </c>
      <c r="F360" s="111" t="s">
        <v>305</v>
      </c>
      <c r="G360" s="3" t="s">
        <v>26</v>
      </c>
      <c r="H360" s="111">
        <v>0.25</v>
      </c>
      <c r="I360" s="22" t="s">
        <v>25</v>
      </c>
      <c r="J360" s="21" t="s">
        <v>1084</v>
      </c>
      <c r="K360" s="130"/>
      <c r="L360" s="125" t="s">
        <v>1093</v>
      </c>
      <c r="M360" s="96"/>
      <c r="N360" s="45" t="s">
        <v>1094</v>
      </c>
      <c r="O360" s="23" t="s">
        <v>29</v>
      </c>
      <c r="P360" s="88">
        <v>1</v>
      </c>
      <c r="Q360" s="88">
        <v>1</v>
      </c>
      <c r="R360" s="66">
        <v>45431</v>
      </c>
      <c r="S360" s="54">
        <v>45440</v>
      </c>
      <c r="T360" s="45" t="s">
        <v>19</v>
      </c>
      <c r="U360" s="100">
        <v>1</v>
      </c>
      <c r="V360" s="108">
        <v>0</v>
      </c>
      <c r="W360" s="22" t="s">
        <v>40</v>
      </c>
      <c r="X360" s="88" t="str">
        <f t="shared" si="31"/>
        <v>2AIWP0.25</v>
      </c>
      <c r="Y360" s="22" t="s">
        <v>32</v>
      </c>
      <c r="Z360" s="78"/>
    </row>
    <row r="361" spans="1:26" s="70" customFormat="1" ht="24.95" customHeight="1">
      <c r="A361" s="80"/>
      <c r="B361" s="99">
        <v>45413</v>
      </c>
      <c r="C361" s="135" t="s">
        <v>51</v>
      </c>
      <c r="D361" s="59" t="s">
        <v>20</v>
      </c>
      <c r="E361" s="14" t="str">
        <f t="shared" si="30"/>
        <v>H1B</v>
      </c>
      <c r="F361" s="111" t="s">
        <v>52</v>
      </c>
      <c r="G361" s="3" t="s">
        <v>26</v>
      </c>
      <c r="H361" s="111">
        <v>0.26</v>
      </c>
      <c r="I361" s="22" t="s">
        <v>43</v>
      </c>
      <c r="J361" s="21" t="s">
        <v>53</v>
      </c>
      <c r="K361" s="55" t="s">
        <v>1071</v>
      </c>
      <c r="L361" s="125" t="s">
        <v>438</v>
      </c>
      <c r="M361" s="96"/>
      <c r="N361" s="45" t="s">
        <v>1072</v>
      </c>
      <c r="O361" s="23" t="s">
        <v>30</v>
      </c>
      <c r="P361" s="88">
        <v>1</v>
      </c>
      <c r="Q361" s="88">
        <v>1</v>
      </c>
      <c r="R361" s="66">
        <v>45423</v>
      </c>
      <c r="S361" s="54">
        <v>45432</v>
      </c>
      <c r="T361" s="45" t="s">
        <v>19</v>
      </c>
      <c r="U361" s="100">
        <v>1</v>
      </c>
      <c r="V361" s="108">
        <v>0</v>
      </c>
      <c r="W361" s="22" t="s">
        <v>40</v>
      </c>
      <c r="X361" s="88" t="str">
        <f t="shared" si="31"/>
        <v>D2IDW4-B-20.26</v>
      </c>
      <c r="Y361" s="22" t="s">
        <v>32</v>
      </c>
      <c r="Z361" s="78"/>
    </row>
    <row r="362" spans="1:26" s="70" customFormat="1" ht="24.95" customHeight="1">
      <c r="A362" s="80"/>
      <c r="B362" s="99">
        <v>45413</v>
      </c>
      <c r="C362" s="135" t="s">
        <v>51</v>
      </c>
      <c r="D362" s="59" t="s">
        <v>20</v>
      </c>
      <c r="E362" s="14" t="str">
        <f t="shared" si="30"/>
        <v>H1A</v>
      </c>
      <c r="F362" s="111" t="s">
        <v>52</v>
      </c>
      <c r="G362" s="3" t="s">
        <v>26</v>
      </c>
      <c r="H362" s="111">
        <v>0.26</v>
      </c>
      <c r="I362" s="22" t="s">
        <v>43</v>
      </c>
      <c r="J362" s="21" t="s">
        <v>1095</v>
      </c>
      <c r="K362" s="136" t="s">
        <v>1097</v>
      </c>
      <c r="L362" s="55" t="s">
        <v>1096</v>
      </c>
      <c r="M362" s="96"/>
      <c r="N362" s="45" t="s">
        <v>1098</v>
      </c>
      <c r="O362" s="23" t="s">
        <v>464</v>
      </c>
      <c r="P362" s="23" t="s">
        <v>1099</v>
      </c>
      <c r="Q362" s="88">
        <v>2</v>
      </c>
      <c r="R362" s="66">
        <v>45435</v>
      </c>
      <c r="S362" s="54">
        <v>45441</v>
      </c>
      <c r="T362" s="45" t="s">
        <v>19</v>
      </c>
      <c r="U362" s="100">
        <v>2</v>
      </c>
      <c r="V362" s="108">
        <v>0</v>
      </c>
      <c r="W362" s="22" t="s">
        <v>40</v>
      </c>
      <c r="X362" s="88" t="str">
        <f t="shared" si="31"/>
        <v>D2IDW4-B-20.26</v>
      </c>
      <c r="Y362" s="22" t="s">
        <v>32</v>
      </c>
      <c r="Z362" s="78"/>
    </row>
    <row r="363" spans="1:26" s="70" customFormat="1" ht="24.95" customHeight="1">
      <c r="A363" s="80"/>
      <c r="B363" s="99">
        <v>45413</v>
      </c>
      <c r="C363" s="135" t="s">
        <v>51</v>
      </c>
      <c r="D363" s="59" t="s">
        <v>20</v>
      </c>
      <c r="E363" s="14" t="str">
        <f t="shared" si="30"/>
        <v>H4A</v>
      </c>
      <c r="F363" s="111" t="s">
        <v>435</v>
      </c>
      <c r="G363" s="3" t="s">
        <v>26</v>
      </c>
      <c r="H363" s="111">
        <v>0.27</v>
      </c>
      <c r="I363" s="22" t="s">
        <v>302</v>
      </c>
      <c r="J363" s="21" t="s">
        <v>772</v>
      </c>
      <c r="K363" s="55" t="s">
        <v>1100</v>
      </c>
      <c r="L363" s="125" t="s">
        <v>1101</v>
      </c>
      <c r="M363" s="96"/>
      <c r="N363" s="45" t="s">
        <v>1102</v>
      </c>
      <c r="O363" s="23" t="s">
        <v>1103</v>
      </c>
      <c r="P363" s="88">
        <v>1</v>
      </c>
      <c r="Q363" s="88">
        <v>1</v>
      </c>
      <c r="R363" s="66">
        <v>45431</v>
      </c>
      <c r="S363" s="54">
        <v>45441</v>
      </c>
      <c r="T363" s="45" t="s">
        <v>19</v>
      </c>
      <c r="U363" s="100">
        <v>1</v>
      </c>
      <c r="V363" s="108">
        <v>0</v>
      </c>
      <c r="W363" s="22" t="s">
        <v>40</v>
      </c>
      <c r="X363" s="88" t="str">
        <f t="shared" si="31"/>
        <v>2DHWH0.27</v>
      </c>
      <c r="Y363" s="22" t="s">
        <v>32</v>
      </c>
      <c r="Z363" s="78"/>
    </row>
    <row r="364" spans="1:26" s="70" customFormat="1" ht="24.95" customHeight="1">
      <c r="A364" s="80"/>
      <c r="B364" s="99">
        <v>45413</v>
      </c>
      <c r="C364" s="135" t="s">
        <v>51</v>
      </c>
      <c r="D364" s="59" t="s">
        <v>20</v>
      </c>
      <c r="E364" s="14" t="str">
        <f t="shared" si="30"/>
        <v>H5A</v>
      </c>
      <c r="F364" s="111" t="s">
        <v>305</v>
      </c>
      <c r="G364" s="3" t="s">
        <v>26</v>
      </c>
      <c r="H364" s="111">
        <v>0.25</v>
      </c>
      <c r="I364" s="22" t="s">
        <v>25</v>
      </c>
      <c r="J364" s="21" t="s">
        <v>772</v>
      </c>
      <c r="K364" s="55" t="s">
        <v>1104</v>
      </c>
      <c r="L364" s="125" t="s">
        <v>1105</v>
      </c>
      <c r="M364" s="96"/>
      <c r="N364" s="45" t="s">
        <v>1106</v>
      </c>
      <c r="O364" s="23" t="s">
        <v>29</v>
      </c>
      <c r="P364" s="88">
        <v>1</v>
      </c>
      <c r="Q364" s="88">
        <v>1</v>
      </c>
      <c r="R364" s="66">
        <v>45428</v>
      </c>
      <c r="S364" s="54">
        <v>45441</v>
      </c>
      <c r="T364" s="45" t="s">
        <v>19</v>
      </c>
      <c r="U364" s="100">
        <v>1</v>
      </c>
      <c r="V364" s="108">
        <v>0</v>
      </c>
      <c r="W364" s="22" t="s">
        <v>40</v>
      </c>
      <c r="X364" s="88" t="str">
        <f t="shared" si="31"/>
        <v>2AIWP0.25</v>
      </c>
      <c r="Y364" s="22" t="s">
        <v>32</v>
      </c>
      <c r="Z364" s="78"/>
    </row>
    <row r="365" spans="1:26" s="70" customFormat="1" ht="24.95" customHeight="1">
      <c r="A365" s="80"/>
      <c r="B365" s="99">
        <v>45413</v>
      </c>
      <c r="C365" s="135" t="s">
        <v>51</v>
      </c>
      <c r="D365" s="59" t="s">
        <v>20</v>
      </c>
      <c r="E365" s="14" t="str">
        <f t="shared" si="30"/>
        <v>H5B</v>
      </c>
      <c r="F365" s="111" t="s">
        <v>305</v>
      </c>
      <c r="G365" s="3" t="s">
        <v>26</v>
      </c>
      <c r="H365" s="111">
        <v>0.25</v>
      </c>
      <c r="I365" s="22" t="s">
        <v>25</v>
      </c>
      <c r="J365" s="21" t="s">
        <v>772</v>
      </c>
      <c r="K365" s="55" t="s">
        <v>1085</v>
      </c>
      <c r="L365" s="125" t="s">
        <v>1107</v>
      </c>
      <c r="M365" s="96"/>
      <c r="N365" s="45" t="s">
        <v>1108</v>
      </c>
      <c r="O365" s="23" t="s">
        <v>1109</v>
      </c>
      <c r="P365" s="88">
        <v>1</v>
      </c>
      <c r="Q365" s="88">
        <v>1</v>
      </c>
      <c r="R365" s="66">
        <v>45431</v>
      </c>
      <c r="S365" s="54">
        <v>45441</v>
      </c>
      <c r="T365" s="45" t="s">
        <v>19</v>
      </c>
      <c r="U365" s="100">
        <v>1</v>
      </c>
      <c r="V365" s="108">
        <v>0</v>
      </c>
      <c r="W365" s="22" t="s">
        <v>40</v>
      </c>
      <c r="X365" s="88" t="str">
        <f t="shared" si="31"/>
        <v>2AIWP0.25</v>
      </c>
      <c r="Y365" s="22" t="s">
        <v>32</v>
      </c>
      <c r="Z365" s="78"/>
    </row>
    <row r="366" spans="1:26" s="70" customFormat="1" ht="24.95" customHeight="1">
      <c r="A366" s="80"/>
      <c r="B366" s="99">
        <v>45413</v>
      </c>
      <c r="C366" s="135" t="s">
        <v>51</v>
      </c>
      <c r="D366" s="59" t="s">
        <v>20</v>
      </c>
      <c r="E366" s="14" t="str">
        <f t="shared" si="30"/>
        <v>H1B</v>
      </c>
      <c r="F366" s="111" t="s">
        <v>52</v>
      </c>
      <c r="G366" s="3" t="s">
        <v>26</v>
      </c>
      <c r="H366" s="111">
        <v>0.25</v>
      </c>
      <c r="I366" s="22" t="s">
        <v>31</v>
      </c>
      <c r="J366" s="21" t="s">
        <v>1110</v>
      </c>
      <c r="K366" s="55" t="s">
        <v>1111</v>
      </c>
      <c r="L366" s="125" t="s">
        <v>1112</v>
      </c>
      <c r="M366" s="96"/>
      <c r="N366" s="45" t="s">
        <v>1113</v>
      </c>
      <c r="O366" s="23" t="s">
        <v>176</v>
      </c>
      <c r="P366" s="88">
        <v>2</v>
      </c>
      <c r="Q366" s="88">
        <v>3</v>
      </c>
      <c r="R366" s="66">
        <v>45436</v>
      </c>
      <c r="S366" s="54">
        <v>45441</v>
      </c>
      <c r="T366" s="45" t="s">
        <v>19</v>
      </c>
      <c r="U366" s="100">
        <v>3</v>
      </c>
      <c r="V366" s="108">
        <v>0</v>
      </c>
      <c r="W366" s="22" t="s">
        <v>40</v>
      </c>
      <c r="X366" s="88" t="str">
        <f t="shared" si="31"/>
        <v>D2IDW4-B-20.25</v>
      </c>
      <c r="Y366" s="22" t="s">
        <v>32</v>
      </c>
      <c r="Z366" s="78"/>
    </row>
    <row r="367" spans="1:26" s="70" customFormat="1" ht="24.95" customHeight="1">
      <c r="A367" s="80"/>
      <c r="B367" s="99">
        <v>45413</v>
      </c>
      <c r="C367" s="135" t="s">
        <v>51</v>
      </c>
      <c r="D367" s="59" t="s">
        <v>20</v>
      </c>
      <c r="E367" s="14" t="str">
        <f t="shared" si="30"/>
        <v>H2A</v>
      </c>
      <c r="F367" s="111" t="s">
        <v>212</v>
      </c>
      <c r="G367" s="3" t="s">
        <v>26</v>
      </c>
      <c r="H367" s="111">
        <v>0.31</v>
      </c>
      <c r="I367" s="22" t="s">
        <v>31</v>
      </c>
      <c r="J367" s="21" t="s">
        <v>1114</v>
      </c>
      <c r="K367" s="55" t="s">
        <v>1115</v>
      </c>
      <c r="L367" s="125" t="s">
        <v>1116</v>
      </c>
      <c r="M367" s="96"/>
      <c r="N367" s="45" t="s">
        <v>1117</v>
      </c>
      <c r="O367" s="23" t="s">
        <v>30</v>
      </c>
      <c r="P367" s="88">
        <v>1</v>
      </c>
      <c r="Q367" s="88">
        <v>1</v>
      </c>
      <c r="R367" s="66">
        <v>45433</v>
      </c>
      <c r="S367" s="54">
        <v>45441</v>
      </c>
      <c r="T367" s="45" t="s">
        <v>19</v>
      </c>
      <c r="U367" s="100">
        <v>1</v>
      </c>
      <c r="V367" s="108">
        <v>0</v>
      </c>
      <c r="W367" s="22" t="s">
        <v>40</v>
      </c>
      <c r="X367" s="88" t="str">
        <f t="shared" si="31"/>
        <v>D2-IDW-2-20.31</v>
      </c>
      <c r="Y367" s="22" t="s">
        <v>32</v>
      </c>
      <c r="Z367" s="78"/>
    </row>
    <row r="368" spans="1:26" s="70" customFormat="1" ht="24.95" customHeight="1">
      <c r="A368" s="80"/>
      <c r="B368" s="99">
        <v>45444</v>
      </c>
      <c r="C368" s="135" t="s">
        <v>35</v>
      </c>
      <c r="D368" s="59" t="s">
        <v>20</v>
      </c>
      <c r="E368" s="14" t="str">
        <f t="shared" si="30"/>
        <v>11A</v>
      </c>
      <c r="F368" s="111" t="s">
        <v>151</v>
      </c>
      <c r="G368" s="15" t="s">
        <v>27</v>
      </c>
      <c r="H368" s="111">
        <v>0.9</v>
      </c>
      <c r="I368" s="22" t="s">
        <v>31</v>
      </c>
      <c r="J368" s="21" t="s">
        <v>562</v>
      </c>
      <c r="K368" s="55" t="s">
        <v>253</v>
      </c>
      <c r="L368" s="125" t="s">
        <v>1118</v>
      </c>
      <c r="M368" s="96"/>
      <c r="N368" s="45" t="s">
        <v>1119</v>
      </c>
      <c r="O368" s="23" t="s">
        <v>263</v>
      </c>
      <c r="P368" s="88">
        <v>5</v>
      </c>
      <c r="Q368" s="88">
        <v>1</v>
      </c>
      <c r="R368" s="66">
        <v>45452</v>
      </c>
      <c r="S368" s="54">
        <v>45453</v>
      </c>
      <c r="T368" s="45" t="s">
        <v>19</v>
      </c>
      <c r="U368" s="100">
        <v>1</v>
      </c>
      <c r="V368" s="108">
        <v>0</v>
      </c>
      <c r="W368" s="22" t="s">
        <v>40</v>
      </c>
      <c r="X368" s="88" t="str">
        <f t="shared" si="31"/>
        <v>D1PEW-B-2Y0.9</v>
      </c>
      <c r="Y368" s="22" t="s">
        <v>32</v>
      </c>
      <c r="Z368" s="78"/>
    </row>
    <row r="369" spans="1:26" s="70" customFormat="1" ht="24.95" customHeight="1">
      <c r="A369" s="80"/>
      <c r="B369" s="99">
        <v>45444</v>
      </c>
      <c r="C369" s="135" t="s">
        <v>35</v>
      </c>
      <c r="D369" s="59" t="s">
        <v>20</v>
      </c>
      <c r="E369" s="14" t="str">
        <f t="shared" si="30"/>
        <v>V6A</v>
      </c>
      <c r="F369" s="111" t="s">
        <v>186</v>
      </c>
      <c r="G369" s="15" t="s">
        <v>27</v>
      </c>
      <c r="H369" s="111">
        <v>1.18</v>
      </c>
      <c r="I369" s="22" t="s">
        <v>187</v>
      </c>
      <c r="J369" s="21" t="s">
        <v>951</v>
      </c>
      <c r="K369" s="55" t="s">
        <v>831</v>
      </c>
      <c r="L369" s="125" t="s">
        <v>809</v>
      </c>
      <c r="M369" s="96"/>
      <c r="N369" s="45" t="s">
        <v>1120</v>
      </c>
      <c r="O369" s="23" t="s">
        <v>30</v>
      </c>
      <c r="P369" s="45" t="s">
        <v>38</v>
      </c>
      <c r="Q369" s="88">
        <v>5</v>
      </c>
      <c r="R369" s="66">
        <v>45452</v>
      </c>
      <c r="S369" s="54">
        <v>45453</v>
      </c>
      <c r="T369" s="45" t="s">
        <v>19</v>
      </c>
      <c r="U369" s="100">
        <v>5</v>
      </c>
      <c r="V369" s="108">
        <v>0</v>
      </c>
      <c r="W369" s="22" t="s">
        <v>40</v>
      </c>
      <c r="X369" s="88" t="str">
        <f t="shared" si="31"/>
        <v>1HGZ-MA1.18</v>
      </c>
      <c r="Y369" s="22" t="s">
        <v>32</v>
      </c>
      <c r="Z369" s="78"/>
    </row>
    <row r="370" spans="1:26" s="70" customFormat="1" ht="24.95" customHeight="1">
      <c r="A370" s="80"/>
      <c r="B370" s="99">
        <v>45444</v>
      </c>
      <c r="C370" s="135" t="s">
        <v>35</v>
      </c>
      <c r="D370" s="59" t="s">
        <v>20</v>
      </c>
      <c r="E370" s="14" t="str">
        <f t="shared" si="30"/>
        <v>V9A</v>
      </c>
      <c r="F370" s="111" t="s">
        <v>23</v>
      </c>
      <c r="G370" s="15" t="s">
        <v>27</v>
      </c>
      <c r="H370" s="111">
        <v>0.95</v>
      </c>
      <c r="I370" s="22" t="s">
        <v>25</v>
      </c>
      <c r="J370" s="21" t="s">
        <v>1121</v>
      </c>
      <c r="K370" s="55"/>
      <c r="L370" s="125" t="s">
        <v>748</v>
      </c>
      <c r="M370" s="96"/>
      <c r="N370" s="45" t="s">
        <v>1122</v>
      </c>
      <c r="O370" s="23" t="s">
        <v>29</v>
      </c>
      <c r="P370" s="88">
        <v>7</v>
      </c>
      <c r="Q370" s="88">
        <v>1</v>
      </c>
      <c r="R370" s="66">
        <v>45449</v>
      </c>
      <c r="S370" s="54">
        <v>45453</v>
      </c>
      <c r="T370" s="45" t="s">
        <v>19</v>
      </c>
      <c r="U370" s="100">
        <v>1</v>
      </c>
      <c r="V370" s="108">
        <v>0</v>
      </c>
      <c r="W370" s="22" t="s">
        <v>40</v>
      </c>
      <c r="X370" s="88" t="str">
        <f t="shared" si="31"/>
        <v>0FBWSHC0.95</v>
      </c>
      <c r="Y370" s="22" t="s">
        <v>32</v>
      </c>
      <c r="Z370" s="78"/>
    </row>
    <row r="371" spans="1:26" s="70" customFormat="1" ht="24.95" customHeight="1">
      <c r="A371" s="80"/>
      <c r="B371" s="99">
        <v>45444</v>
      </c>
      <c r="C371" s="135" t="s">
        <v>35</v>
      </c>
      <c r="D371" s="59" t="s">
        <v>20</v>
      </c>
      <c r="E371" s="14" t="str">
        <f t="shared" si="30"/>
        <v>11A</v>
      </c>
      <c r="F371" s="111" t="s">
        <v>151</v>
      </c>
      <c r="G371" s="15" t="s">
        <v>27</v>
      </c>
      <c r="H371" s="111">
        <v>0.9</v>
      </c>
      <c r="I371" s="22" t="s">
        <v>31</v>
      </c>
      <c r="J371" s="21" t="s">
        <v>1123</v>
      </c>
      <c r="K371" s="55" t="s">
        <v>831</v>
      </c>
      <c r="L371" s="125" t="s">
        <v>748</v>
      </c>
      <c r="M371" s="96"/>
      <c r="N371" s="45" t="s">
        <v>1124</v>
      </c>
      <c r="O371" s="23" t="s">
        <v>30</v>
      </c>
      <c r="P371" s="45" t="s">
        <v>38</v>
      </c>
      <c r="Q371" s="88">
        <v>5</v>
      </c>
      <c r="R371" s="66">
        <v>45448</v>
      </c>
      <c r="S371" s="54">
        <v>45453</v>
      </c>
      <c r="T371" s="45" t="s">
        <v>19</v>
      </c>
      <c r="U371" s="100">
        <v>5</v>
      </c>
      <c r="V371" s="108">
        <v>0</v>
      </c>
      <c r="W371" s="22" t="s">
        <v>40</v>
      </c>
      <c r="X371" s="88" t="str">
        <f t="shared" si="31"/>
        <v>D1PEW-B-2Y0.9</v>
      </c>
      <c r="Y371" s="22" t="s">
        <v>32</v>
      </c>
      <c r="Z371" s="78"/>
    </row>
    <row r="372" spans="1:26" s="70" customFormat="1" ht="24.95" customHeight="1">
      <c r="A372" s="80"/>
      <c r="B372" s="99">
        <v>45444</v>
      </c>
      <c r="C372" s="135" t="s">
        <v>35</v>
      </c>
      <c r="D372" s="59" t="s">
        <v>20</v>
      </c>
      <c r="E372" s="14" t="str">
        <f t="shared" si="30"/>
        <v>VOA</v>
      </c>
      <c r="F372" s="111" t="s">
        <v>259</v>
      </c>
      <c r="G372" s="15" t="s">
        <v>27</v>
      </c>
      <c r="H372" s="111">
        <v>0.6</v>
      </c>
      <c r="I372" s="22" t="s">
        <v>31</v>
      </c>
      <c r="J372" s="21" t="s">
        <v>1125</v>
      </c>
      <c r="K372" s="55" t="s">
        <v>831</v>
      </c>
      <c r="L372" s="125" t="s">
        <v>60</v>
      </c>
      <c r="M372" s="96"/>
      <c r="N372" s="45" t="s">
        <v>1126</v>
      </c>
      <c r="O372" s="23" t="s">
        <v>29</v>
      </c>
      <c r="P372" s="45" t="s">
        <v>38</v>
      </c>
      <c r="Q372" s="88">
        <v>5</v>
      </c>
      <c r="R372" s="66">
        <v>45447</v>
      </c>
      <c r="S372" s="54">
        <v>45450</v>
      </c>
      <c r="T372" s="45" t="s">
        <v>19</v>
      </c>
      <c r="U372" s="100">
        <v>5</v>
      </c>
      <c r="V372" s="108">
        <v>0</v>
      </c>
      <c r="W372" s="22" t="s">
        <v>40</v>
      </c>
      <c r="X372" s="88" t="str">
        <f t="shared" si="31"/>
        <v>D1-PEW-B-2T0.6</v>
      </c>
      <c r="Y372" s="22" t="s">
        <v>32</v>
      </c>
      <c r="Z372" s="78"/>
    </row>
    <row r="373" spans="1:26" s="70" customFormat="1" ht="24.95" customHeight="1">
      <c r="A373" s="80"/>
      <c r="B373" s="99">
        <v>45444</v>
      </c>
      <c r="C373" s="135" t="s">
        <v>35</v>
      </c>
      <c r="D373" s="59" t="s">
        <v>20</v>
      </c>
      <c r="E373" s="14" t="str">
        <f t="shared" si="30"/>
        <v>V6A</v>
      </c>
      <c r="F373" s="111" t="s">
        <v>186</v>
      </c>
      <c r="G373" s="3" t="s">
        <v>26</v>
      </c>
      <c r="H373" s="111">
        <v>1.18</v>
      </c>
      <c r="I373" s="22" t="s">
        <v>187</v>
      </c>
      <c r="J373" s="21" t="s">
        <v>1127</v>
      </c>
      <c r="K373" s="55" t="s">
        <v>1128</v>
      </c>
      <c r="L373" s="125" t="s">
        <v>1129</v>
      </c>
      <c r="M373" s="96"/>
      <c r="N373" s="45" t="s">
        <v>1130</v>
      </c>
      <c r="O373" s="23" t="s">
        <v>29</v>
      </c>
      <c r="P373" s="88">
        <v>3</v>
      </c>
      <c r="Q373" s="88">
        <v>1</v>
      </c>
      <c r="R373" s="66">
        <v>45448</v>
      </c>
      <c r="S373" s="54">
        <v>45450</v>
      </c>
      <c r="T373" s="45" t="s">
        <v>19</v>
      </c>
      <c r="U373" s="100">
        <v>1</v>
      </c>
      <c r="V373" s="108">
        <v>0</v>
      </c>
      <c r="W373" s="22" t="s">
        <v>40</v>
      </c>
      <c r="X373" s="88" t="str">
        <f t="shared" si="31"/>
        <v>1HGZ-MA1.18</v>
      </c>
      <c r="Y373" s="22" t="s">
        <v>32</v>
      </c>
      <c r="Z373" s="78"/>
    </row>
    <row r="374" spans="1:26" s="70" customFormat="1" ht="24.95" customHeight="1">
      <c r="A374" s="80"/>
      <c r="B374" s="99">
        <v>45444</v>
      </c>
      <c r="C374" s="135" t="s">
        <v>35</v>
      </c>
      <c r="D374" s="59" t="s">
        <v>20</v>
      </c>
      <c r="E374" s="14" t="str">
        <f t="shared" si="30"/>
        <v>11A</v>
      </c>
      <c r="F374" s="111" t="s">
        <v>151</v>
      </c>
      <c r="G374" s="15" t="s">
        <v>27</v>
      </c>
      <c r="H374" s="111">
        <v>0.9</v>
      </c>
      <c r="I374" s="22" t="s">
        <v>31</v>
      </c>
      <c r="J374" s="21" t="s">
        <v>1131</v>
      </c>
      <c r="K374" s="55" t="s">
        <v>1132</v>
      </c>
      <c r="L374" s="125" t="s">
        <v>1133</v>
      </c>
      <c r="M374" s="96"/>
      <c r="N374" s="45" t="s">
        <v>1134</v>
      </c>
      <c r="O374" s="23" t="s">
        <v>30</v>
      </c>
      <c r="P374" s="45" t="s">
        <v>38</v>
      </c>
      <c r="Q374" s="88">
        <v>5</v>
      </c>
      <c r="R374" s="66">
        <v>45447</v>
      </c>
      <c r="S374" s="54">
        <v>45450</v>
      </c>
      <c r="T374" s="45" t="s">
        <v>19</v>
      </c>
      <c r="U374" s="100">
        <v>5</v>
      </c>
      <c r="V374" s="108">
        <v>0</v>
      </c>
      <c r="W374" s="22" t="s">
        <v>40</v>
      </c>
      <c r="X374" s="88" t="str">
        <f t="shared" si="31"/>
        <v>D1PEW-B-2Y0.9</v>
      </c>
      <c r="Y374" s="22" t="s">
        <v>32</v>
      </c>
      <c r="Z374" s="78"/>
    </row>
    <row r="375" spans="1:26" s="70" customFormat="1" ht="24.95" customHeight="1">
      <c r="A375" s="80"/>
      <c r="B375" s="99">
        <v>45444</v>
      </c>
      <c r="C375" s="135" t="s">
        <v>35</v>
      </c>
      <c r="D375" s="59" t="s">
        <v>20</v>
      </c>
      <c r="E375" s="14" t="str">
        <f t="shared" si="30"/>
        <v>V6A</v>
      </c>
      <c r="F375" s="111" t="s">
        <v>186</v>
      </c>
      <c r="G375" s="15" t="s">
        <v>27</v>
      </c>
      <c r="H375" s="111">
        <v>1.18</v>
      </c>
      <c r="I375" s="22" t="s">
        <v>187</v>
      </c>
      <c r="J375" s="21" t="s">
        <v>951</v>
      </c>
      <c r="K375" s="55" t="s">
        <v>831</v>
      </c>
      <c r="L375" s="125" t="s">
        <v>60</v>
      </c>
      <c r="M375" s="96"/>
      <c r="N375" s="45" t="s">
        <v>1135</v>
      </c>
      <c r="O375" s="23" t="s">
        <v>195</v>
      </c>
      <c r="P375" s="45" t="s">
        <v>38</v>
      </c>
      <c r="Q375" s="88">
        <v>5</v>
      </c>
      <c r="R375" s="66">
        <v>45452</v>
      </c>
      <c r="S375" s="54">
        <v>45453</v>
      </c>
      <c r="T375" s="45" t="s">
        <v>19</v>
      </c>
      <c r="U375" s="100">
        <v>5</v>
      </c>
      <c r="V375" s="108">
        <v>0</v>
      </c>
      <c r="W375" s="22" t="s">
        <v>40</v>
      </c>
      <c r="X375" s="88" t="str">
        <f t="shared" si="31"/>
        <v>1HGZ-MA1.18</v>
      </c>
      <c r="Y375" s="22" t="s">
        <v>32</v>
      </c>
      <c r="Z375" s="78"/>
    </row>
    <row r="376" spans="1:26" s="70" customFormat="1" ht="24.95" customHeight="1">
      <c r="A376" s="80"/>
      <c r="B376" s="99">
        <v>45444</v>
      </c>
      <c r="C376" s="135" t="s">
        <v>35</v>
      </c>
      <c r="D376" s="59" t="s">
        <v>20</v>
      </c>
      <c r="E376" s="14" t="str">
        <f t="shared" si="30"/>
        <v>V4B</v>
      </c>
      <c r="F376" s="111" t="s">
        <v>200</v>
      </c>
      <c r="G376" s="3" t="s">
        <v>26</v>
      </c>
      <c r="H376" s="111">
        <v>0.42</v>
      </c>
      <c r="I376" s="22" t="s">
        <v>31</v>
      </c>
      <c r="J376" s="21" t="s">
        <v>1136</v>
      </c>
      <c r="K376" s="55" t="s">
        <v>1137</v>
      </c>
      <c r="L376" s="125" t="s">
        <v>1138</v>
      </c>
      <c r="M376" s="96"/>
      <c r="N376" s="45" t="s">
        <v>1139</v>
      </c>
      <c r="O376" s="23" t="s">
        <v>30</v>
      </c>
      <c r="P376" s="45" t="s">
        <v>54</v>
      </c>
      <c r="Q376" s="88">
        <v>10</v>
      </c>
      <c r="R376" s="66">
        <v>45453</v>
      </c>
      <c r="S376" s="54">
        <v>45454</v>
      </c>
      <c r="T376" s="45" t="s">
        <v>19</v>
      </c>
      <c r="U376" s="100">
        <v>10</v>
      </c>
      <c r="V376" s="108">
        <v>0</v>
      </c>
      <c r="W376" s="22" t="s">
        <v>40</v>
      </c>
      <c r="X376" s="88" t="str">
        <f t="shared" si="31"/>
        <v>D2IDW-4-B-20.42</v>
      </c>
      <c r="Y376" s="22" t="s">
        <v>32</v>
      </c>
      <c r="Z376" s="78"/>
    </row>
    <row r="377" spans="1:26" s="70" customFormat="1" ht="24.95" customHeight="1">
      <c r="A377" s="80"/>
      <c r="B377" s="99">
        <v>45444</v>
      </c>
      <c r="C377" s="135" t="s">
        <v>35</v>
      </c>
      <c r="D377" s="59" t="s">
        <v>20</v>
      </c>
      <c r="E377" s="14" t="str">
        <f t="shared" si="30"/>
        <v>V4B</v>
      </c>
      <c r="F377" s="111" t="s">
        <v>200</v>
      </c>
      <c r="G377" s="3" t="s">
        <v>26</v>
      </c>
      <c r="H377" s="111">
        <v>0.42</v>
      </c>
      <c r="I377" s="22" t="s">
        <v>31</v>
      </c>
      <c r="J377" s="21" t="s">
        <v>1136</v>
      </c>
      <c r="K377" s="55" t="s">
        <v>1137</v>
      </c>
      <c r="L377" s="125" t="s">
        <v>1140</v>
      </c>
      <c r="M377" s="96"/>
      <c r="N377" s="45" t="s">
        <v>1141</v>
      </c>
      <c r="O377" s="23" t="s">
        <v>30</v>
      </c>
      <c r="P377" s="45" t="s">
        <v>54</v>
      </c>
      <c r="Q377" s="88">
        <v>10</v>
      </c>
      <c r="R377" s="66">
        <v>45454</v>
      </c>
      <c r="S377" s="54">
        <v>45454</v>
      </c>
      <c r="T377" s="45" t="s">
        <v>19</v>
      </c>
      <c r="U377" s="100">
        <v>10</v>
      </c>
      <c r="V377" s="108">
        <v>0</v>
      </c>
      <c r="W377" s="22" t="s">
        <v>40</v>
      </c>
      <c r="X377" s="88" t="str">
        <f t="shared" si="31"/>
        <v>D2IDW-4-B-20.42</v>
      </c>
      <c r="Y377" s="22" t="s">
        <v>32</v>
      </c>
      <c r="Z377" s="78"/>
    </row>
    <row r="378" spans="1:26" s="70" customFormat="1" ht="24.95" customHeight="1">
      <c r="A378" s="80"/>
      <c r="B378" s="99">
        <v>45444</v>
      </c>
      <c r="C378" s="135" t="s">
        <v>35</v>
      </c>
      <c r="D378" s="59" t="s">
        <v>20</v>
      </c>
      <c r="E378" s="14" t="str">
        <f t="shared" si="30"/>
        <v>12A</v>
      </c>
      <c r="F378" s="111" t="s">
        <v>165</v>
      </c>
      <c r="G378" s="15" t="s">
        <v>27</v>
      </c>
      <c r="H378" s="111">
        <v>1.81</v>
      </c>
      <c r="I378" s="22" t="s">
        <v>329</v>
      </c>
      <c r="J378" s="21" t="s">
        <v>1142</v>
      </c>
      <c r="K378" s="55" t="s">
        <v>1143</v>
      </c>
      <c r="L378" s="125" t="s">
        <v>60</v>
      </c>
      <c r="M378" s="96"/>
      <c r="N378" s="45" t="s">
        <v>1144</v>
      </c>
      <c r="O378" s="23" t="s">
        <v>30</v>
      </c>
      <c r="P378" s="45" t="s">
        <v>38</v>
      </c>
      <c r="Q378" s="88">
        <v>5</v>
      </c>
      <c r="R378" s="66">
        <v>45453</v>
      </c>
      <c r="S378" s="54">
        <v>45454</v>
      </c>
      <c r="T378" s="45" t="s">
        <v>19</v>
      </c>
      <c r="U378" s="100">
        <v>5</v>
      </c>
      <c r="V378" s="108">
        <v>0</v>
      </c>
      <c r="W378" s="22" t="s">
        <v>40</v>
      </c>
      <c r="X378" s="88" t="str">
        <f t="shared" si="31"/>
        <v>2EIWAD-O1.81</v>
      </c>
      <c r="Y378" s="22" t="s">
        <v>32</v>
      </c>
      <c r="Z378" s="78"/>
    </row>
    <row r="379" spans="1:26" s="70" customFormat="1" ht="24.95" customHeight="1">
      <c r="A379" s="80"/>
      <c r="B379" s="99">
        <v>45444</v>
      </c>
      <c r="C379" s="135" t="s">
        <v>35</v>
      </c>
      <c r="D379" s="59" t="s">
        <v>20</v>
      </c>
      <c r="E379" s="14" t="str">
        <f t="shared" si="30"/>
        <v>11B</v>
      </c>
      <c r="F379" s="111" t="s">
        <v>24</v>
      </c>
      <c r="G379" s="15" t="s">
        <v>27</v>
      </c>
      <c r="H379" s="111">
        <v>0.77</v>
      </c>
      <c r="I379" s="22" t="s">
        <v>206</v>
      </c>
      <c r="J379" s="21" t="s">
        <v>562</v>
      </c>
      <c r="K379" s="55" t="s">
        <v>1145</v>
      </c>
      <c r="L379" s="55" t="s">
        <v>1145</v>
      </c>
      <c r="M379" s="96"/>
      <c r="N379" s="45" t="s">
        <v>1146</v>
      </c>
      <c r="O379" s="23" t="s">
        <v>30</v>
      </c>
      <c r="P379" s="88">
        <v>5</v>
      </c>
      <c r="Q379" s="88">
        <v>1</v>
      </c>
      <c r="R379" s="66">
        <v>45447</v>
      </c>
      <c r="S379" s="54">
        <v>45450</v>
      </c>
      <c r="T379" s="45" t="s">
        <v>19</v>
      </c>
      <c r="U379" s="100">
        <v>1</v>
      </c>
      <c r="V379" s="108">
        <v>0</v>
      </c>
      <c r="W379" s="22" t="s">
        <v>40</v>
      </c>
      <c r="X379" s="88" t="str">
        <f t="shared" si="31"/>
        <v>2PEW0.77</v>
      </c>
      <c r="Y379" s="22" t="s">
        <v>32</v>
      </c>
      <c r="Z379" s="78"/>
    </row>
    <row r="380" spans="1:26" s="70" customFormat="1" ht="24.95" customHeight="1">
      <c r="A380" s="80"/>
      <c r="B380" s="99">
        <v>45444</v>
      </c>
      <c r="C380" s="135" t="s">
        <v>35</v>
      </c>
      <c r="D380" s="59" t="s">
        <v>20</v>
      </c>
      <c r="E380" s="14" t="str">
        <f t="shared" si="30"/>
        <v>11A</v>
      </c>
      <c r="F380" s="111" t="s">
        <v>151</v>
      </c>
      <c r="G380" s="15" t="s">
        <v>27</v>
      </c>
      <c r="H380" s="111">
        <v>0.9</v>
      </c>
      <c r="I380" s="22" t="s">
        <v>31</v>
      </c>
      <c r="J380" s="21" t="s">
        <v>1161</v>
      </c>
      <c r="K380" s="55" t="s">
        <v>831</v>
      </c>
      <c r="L380" s="55" t="s">
        <v>1162</v>
      </c>
      <c r="M380" s="96"/>
      <c r="N380" s="45" t="s">
        <v>1163</v>
      </c>
      <c r="O380" s="23" t="s">
        <v>1164</v>
      </c>
      <c r="P380" s="88">
        <v>3</v>
      </c>
      <c r="Q380" s="88">
        <v>2</v>
      </c>
      <c r="R380" s="66">
        <v>45454</v>
      </c>
      <c r="S380" s="54">
        <v>45456</v>
      </c>
      <c r="T380" s="45" t="s">
        <v>19</v>
      </c>
      <c r="U380" s="100">
        <v>2</v>
      </c>
      <c r="V380" s="108">
        <v>0</v>
      </c>
      <c r="W380" s="22" t="s">
        <v>40</v>
      </c>
      <c r="X380" s="88" t="str">
        <f t="shared" si="31"/>
        <v>D1PEW-B-2Y0.9</v>
      </c>
      <c r="Y380" s="22" t="s">
        <v>32</v>
      </c>
      <c r="Z380" s="78"/>
    </row>
    <row r="381" spans="1:26" s="70" customFormat="1" ht="24.95" customHeight="1">
      <c r="A381" s="80"/>
      <c r="B381" s="99">
        <v>45444</v>
      </c>
      <c r="C381" s="135" t="s">
        <v>35</v>
      </c>
      <c r="D381" s="59" t="s">
        <v>20</v>
      </c>
      <c r="E381" s="14" t="str">
        <f t="shared" si="30"/>
        <v>12A</v>
      </c>
      <c r="F381" s="111" t="s">
        <v>165</v>
      </c>
      <c r="G381" s="3" t="s">
        <v>26</v>
      </c>
      <c r="H381" s="111">
        <v>1.81</v>
      </c>
      <c r="I381" s="22" t="s">
        <v>329</v>
      </c>
      <c r="J381" s="21" t="s">
        <v>993</v>
      </c>
      <c r="K381" s="55"/>
      <c r="L381" s="55"/>
      <c r="M381" s="96"/>
      <c r="N381" s="45" t="s">
        <v>1165</v>
      </c>
      <c r="O381" s="23" t="s">
        <v>29</v>
      </c>
      <c r="P381" s="88">
        <v>5</v>
      </c>
      <c r="Q381" s="88">
        <v>1</v>
      </c>
      <c r="R381" s="66">
        <v>45454</v>
      </c>
      <c r="S381" s="54">
        <v>45459</v>
      </c>
      <c r="T381" s="45" t="s">
        <v>19</v>
      </c>
      <c r="U381" s="100">
        <v>1</v>
      </c>
      <c r="V381" s="108">
        <v>0</v>
      </c>
      <c r="W381" s="22" t="s">
        <v>40</v>
      </c>
      <c r="X381" s="88" t="str">
        <f t="shared" si="31"/>
        <v>2EIWAD-O1.81</v>
      </c>
      <c r="Y381" s="22" t="s">
        <v>32</v>
      </c>
      <c r="Z381" s="78"/>
    </row>
    <row r="382" spans="1:26" s="70" customFormat="1" ht="24.95" customHeight="1">
      <c r="A382" s="80"/>
      <c r="B382" s="99">
        <v>45444</v>
      </c>
      <c r="C382" s="135" t="s">
        <v>35</v>
      </c>
      <c r="D382" s="59" t="s">
        <v>20</v>
      </c>
      <c r="E382" s="14" t="str">
        <f t="shared" si="30"/>
        <v>VOA</v>
      </c>
      <c r="F382" s="111" t="s">
        <v>259</v>
      </c>
      <c r="G382" s="3" t="s">
        <v>26</v>
      </c>
      <c r="H382" s="111">
        <v>0.5</v>
      </c>
      <c r="I382" s="22" t="s">
        <v>31</v>
      </c>
      <c r="J382" s="21" t="s">
        <v>1173</v>
      </c>
      <c r="K382" s="55"/>
      <c r="L382" s="55"/>
      <c r="M382" s="96"/>
      <c r="N382" s="45" t="s">
        <v>1174</v>
      </c>
      <c r="O382" s="23" t="s">
        <v>1175</v>
      </c>
      <c r="P382" s="45" t="s">
        <v>38</v>
      </c>
      <c r="Q382" s="88">
        <v>15</v>
      </c>
      <c r="R382" s="66">
        <v>45461</v>
      </c>
      <c r="S382" s="54">
        <v>45464</v>
      </c>
      <c r="T382" s="45" t="s">
        <v>19</v>
      </c>
      <c r="U382" s="100">
        <v>15</v>
      </c>
      <c r="V382" s="108">
        <v>0</v>
      </c>
      <c r="W382" s="22" t="s">
        <v>40</v>
      </c>
      <c r="X382" s="88" t="str">
        <f t="shared" si="31"/>
        <v>D1-PEW-B-2T0.5</v>
      </c>
      <c r="Y382" s="22" t="s">
        <v>32</v>
      </c>
      <c r="Z382" s="78"/>
    </row>
    <row r="383" spans="1:26" s="70" customFormat="1" ht="24.95" customHeight="1">
      <c r="A383" s="80"/>
      <c r="B383" s="99">
        <v>45444</v>
      </c>
      <c r="C383" s="135" t="s">
        <v>35</v>
      </c>
      <c r="D383" s="59" t="s">
        <v>20</v>
      </c>
      <c r="E383" s="14" t="str">
        <f t="shared" si="30"/>
        <v>V6A</v>
      </c>
      <c r="F383" s="111" t="s">
        <v>186</v>
      </c>
      <c r="G383" s="15" t="s">
        <v>27</v>
      </c>
      <c r="H383" s="111">
        <v>1.18</v>
      </c>
      <c r="I383" s="22" t="s">
        <v>187</v>
      </c>
      <c r="J383" s="21" t="s">
        <v>951</v>
      </c>
      <c r="K383" s="21" t="s">
        <v>951</v>
      </c>
      <c r="L383" s="55" t="s">
        <v>1176</v>
      </c>
      <c r="M383" s="96"/>
      <c r="N383" s="45" t="s">
        <v>1177</v>
      </c>
      <c r="O383" s="23" t="s">
        <v>195</v>
      </c>
      <c r="P383" s="45" t="s">
        <v>38</v>
      </c>
      <c r="Q383" s="88">
        <v>5</v>
      </c>
      <c r="R383" s="66">
        <v>45457</v>
      </c>
      <c r="S383" s="54">
        <v>45464</v>
      </c>
      <c r="T383" s="45" t="s">
        <v>19</v>
      </c>
      <c r="U383" s="100">
        <v>5</v>
      </c>
      <c r="V383" s="108">
        <v>0</v>
      </c>
      <c r="W383" s="22" t="s">
        <v>40</v>
      </c>
      <c r="X383" s="88" t="str">
        <f t="shared" si="31"/>
        <v>1HGZ-MA1.18</v>
      </c>
      <c r="Y383" s="22" t="s">
        <v>32</v>
      </c>
      <c r="Z383" s="78"/>
    </row>
    <row r="384" spans="1:26" s="70" customFormat="1" ht="24.95" customHeight="1">
      <c r="A384" s="80"/>
      <c r="B384" s="99">
        <v>45444</v>
      </c>
      <c r="C384" s="135" t="s">
        <v>35</v>
      </c>
      <c r="D384" s="59" t="s">
        <v>20</v>
      </c>
      <c r="E384" s="14" t="str">
        <f t="shared" si="30"/>
        <v>V6B</v>
      </c>
      <c r="F384" s="111" t="s">
        <v>165</v>
      </c>
      <c r="G384" s="3" t="s">
        <v>26</v>
      </c>
      <c r="H384" s="111">
        <v>1.81</v>
      </c>
      <c r="I384" s="22" t="s">
        <v>321</v>
      </c>
      <c r="J384" s="21" t="s">
        <v>317</v>
      </c>
      <c r="K384" s="55" t="s">
        <v>831</v>
      </c>
      <c r="L384" s="55" t="s">
        <v>189</v>
      </c>
      <c r="M384" s="96"/>
      <c r="N384" s="45" t="s">
        <v>1178</v>
      </c>
      <c r="O384" s="23" t="s">
        <v>30</v>
      </c>
      <c r="P384" s="88">
        <v>1</v>
      </c>
      <c r="Q384" s="88">
        <v>1</v>
      </c>
      <c r="R384" s="66">
        <v>45456</v>
      </c>
      <c r="S384" s="54">
        <v>45464</v>
      </c>
      <c r="T384" s="45" t="s">
        <v>19</v>
      </c>
      <c r="U384" s="100">
        <v>1</v>
      </c>
      <c r="V384" s="108">
        <v>0</v>
      </c>
      <c r="W384" s="22" t="s">
        <v>40</v>
      </c>
      <c r="X384" s="88" t="str">
        <f t="shared" si="31"/>
        <v>2EIWAD-O1.81</v>
      </c>
      <c r="Y384" s="22" t="s">
        <v>32</v>
      </c>
      <c r="Z384" s="78"/>
    </row>
    <row r="385" spans="1:26" s="70" customFormat="1" ht="24.95" customHeight="1">
      <c r="A385" s="80"/>
      <c r="B385" s="99">
        <v>45444</v>
      </c>
      <c r="C385" s="135" t="s">
        <v>35</v>
      </c>
      <c r="D385" s="59" t="s">
        <v>20</v>
      </c>
      <c r="E385" s="14" t="str">
        <f t="shared" si="30"/>
        <v>11A</v>
      </c>
      <c r="F385" s="111" t="s">
        <v>151</v>
      </c>
      <c r="G385" s="15" t="s">
        <v>27</v>
      </c>
      <c r="H385" s="111">
        <v>0.9</v>
      </c>
      <c r="I385" s="22" t="s">
        <v>31</v>
      </c>
      <c r="J385" s="21" t="s">
        <v>47</v>
      </c>
      <c r="K385" s="55" t="s">
        <v>1179</v>
      </c>
      <c r="L385" s="130" t="s">
        <v>1180</v>
      </c>
      <c r="M385" s="96"/>
      <c r="N385" s="45" t="s">
        <v>1181</v>
      </c>
      <c r="O385" s="23" t="s">
        <v>39</v>
      </c>
      <c r="P385" s="88">
        <v>5</v>
      </c>
      <c r="Q385" s="88">
        <v>1</v>
      </c>
      <c r="R385" s="66">
        <v>45457</v>
      </c>
      <c r="S385" s="54">
        <v>45464</v>
      </c>
      <c r="T385" s="45" t="s">
        <v>19</v>
      </c>
      <c r="U385" s="100">
        <v>1</v>
      </c>
      <c r="V385" s="108">
        <v>0</v>
      </c>
      <c r="W385" s="22" t="s">
        <v>40</v>
      </c>
      <c r="X385" s="88" t="str">
        <f t="shared" si="31"/>
        <v>D1PEW-B-2Y0.9</v>
      </c>
      <c r="Y385" s="22" t="s">
        <v>32</v>
      </c>
      <c r="Z385" s="78"/>
    </row>
    <row r="386" spans="1:26" s="70" customFormat="1" ht="24.95" customHeight="1">
      <c r="A386" s="80"/>
      <c r="B386" s="99">
        <v>45444</v>
      </c>
      <c r="C386" s="135" t="s">
        <v>35</v>
      </c>
      <c r="D386" s="59" t="s">
        <v>20</v>
      </c>
      <c r="E386" s="14" t="str">
        <f t="shared" si="30"/>
        <v>12A</v>
      </c>
      <c r="F386" s="111" t="s">
        <v>165</v>
      </c>
      <c r="G386" s="15" t="s">
        <v>27</v>
      </c>
      <c r="H386" s="111">
        <v>1.81</v>
      </c>
      <c r="I386" s="22" t="s">
        <v>329</v>
      </c>
      <c r="J386" s="21" t="s">
        <v>682</v>
      </c>
      <c r="K386" s="55" t="s">
        <v>831</v>
      </c>
      <c r="L386" s="55" t="s">
        <v>1182</v>
      </c>
      <c r="M386" s="96"/>
      <c r="N386" s="45" t="s">
        <v>1183</v>
      </c>
      <c r="O386" s="23" t="s">
        <v>29</v>
      </c>
      <c r="P386" s="45" t="s">
        <v>38</v>
      </c>
      <c r="Q386" s="88">
        <v>5</v>
      </c>
      <c r="R386" s="66">
        <v>45457</v>
      </c>
      <c r="S386" s="54">
        <v>45464</v>
      </c>
      <c r="T386" s="45" t="s">
        <v>19</v>
      </c>
      <c r="U386" s="100">
        <v>5</v>
      </c>
      <c r="V386" s="108">
        <v>0</v>
      </c>
      <c r="W386" s="22" t="s">
        <v>40</v>
      </c>
      <c r="X386" s="88" t="str">
        <f t="shared" si="31"/>
        <v>2EIWAD-O1.81</v>
      </c>
      <c r="Y386" s="22" t="s">
        <v>32</v>
      </c>
      <c r="Z386" s="78"/>
    </row>
    <row r="387" spans="1:26" s="70" customFormat="1" ht="24.95" customHeight="1">
      <c r="A387" s="80"/>
      <c r="B387" s="99">
        <v>45444</v>
      </c>
      <c r="C387" s="135" t="s">
        <v>35</v>
      </c>
      <c r="D387" s="59" t="s">
        <v>20</v>
      </c>
      <c r="E387" s="14" t="str">
        <f t="shared" si="30"/>
        <v>V6A</v>
      </c>
      <c r="F387" s="111" t="s">
        <v>186</v>
      </c>
      <c r="G387" s="15" t="s">
        <v>27</v>
      </c>
      <c r="H387" s="111">
        <v>1.18</v>
      </c>
      <c r="I387" s="22" t="s">
        <v>187</v>
      </c>
      <c r="J387" s="21" t="s">
        <v>951</v>
      </c>
      <c r="K387" s="21" t="s">
        <v>951</v>
      </c>
      <c r="L387" s="55" t="s">
        <v>60</v>
      </c>
      <c r="M387" s="96"/>
      <c r="N387" s="45" t="s">
        <v>1184</v>
      </c>
      <c r="O387" s="23" t="s">
        <v>30</v>
      </c>
      <c r="P387" s="45" t="s">
        <v>38</v>
      </c>
      <c r="Q387" s="88">
        <v>5</v>
      </c>
      <c r="R387" s="66">
        <v>45458</v>
      </c>
      <c r="S387" s="54">
        <v>45464</v>
      </c>
      <c r="T387" s="45" t="s">
        <v>19</v>
      </c>
      <c r="U387" s="100">
        <v>5</v>
      </c>
      <c r="V387" s="108">
        <v>0</v>
      </c>
      <c r="W387" s="22" t="s">
        <v>40</v>
      </c>
      <c r="X387" s="88" t="str">
        <f t="shared" si="31"/>
        <v>1HGZ-MA1.18</v>
      </c>
      <c r="Y387" s="22" t="s">
        <v>32</v>
      </c>
      <c r="Z387" s="78"/>
    </row>
    <row r="388" spans="1:26" s="70" customFormat="1" ht="24.95" customHeight="1">
      <c r="A388" s="80"/>
      <c r="B388" s="99">
        <v>45444</v>
      </c>
      <c r="C388" s="135" t="s">
        <v>35</v>
      </c>
      <c r="D388" s="59" t="s">
        <v>20</v>
      </c>
      <c r="E388" s="14" t="str">
        <f t="shared" si="30"/>
        <v>12A</v>
      </c>
      <c r="F388" s="111" t="s">
        <v>165</v>
      </c>
      <c r="G388" s="15" t="s">
        <v>27</v>
      </c>
      <c r="H388" s="111">
        <v>1.81</v>
      </c>
      <c r="I388" s="22" t="s">
        <v>329</v>
      </c>
      <c r="J388" s="21" t="s">
        <v>1185</v>
      </c>
      <c r="K388" s="21" t="s">
        <v>1185</v>
      </c>
      <c r="L388" s="55" t="s">
        <v>60</v>
      </c>
      <c r="M388" s="96"/>
      <c r="N388" s="45" t="s">
        <v>1186</v>
      </c>
      <c r="O388" s="23" t="s">
        <v>464</v>
      </c>
      <c r="P388" s="45" t="s">
        <v>1187</v>
      </c>
      <c r="Q388" s="88">
        <v>5</v>
      </c>
      <c r="R388" s="66">
        <v>45458</v>
      </c>
      <c r="S388" s="54">
        <v>45464</v>
      </c>
      <c r="T388" s="45" t="s">
        <v>19</v>
      </c>
      <c r="U388" s="100">
        <v>5</v>
      </c>
      <c r="V388" s="108">
        <v>0</v>
      </c>
      <c r="W388" s="22" t="s">
        <v>40</v>
      </c>
      <c r="X388" s="88" t="str">
        <f t="shared" si="31"/>
        <v>2EIWAD-O1.81</v>
      </c>
      <c r="Y388" s="22" t="s">
        <v>32</v>
      </c>
      <c r="Z388" s="78"/>
    </row>
    <row r="389" spans="1:26" s="70" customFormat="1" ht="24.95" customHeight="1">
      <c r="A389" s="80"/>
      <c r="B389" s="99">
        <v>45444</v>
      </c>
      <c r="C389" s="135" t="s">
        <v>35</v>
      </c>
      <c r="D389" s="59" t="s">
        <v>20</v>
      </c>
      <c r="E389" s="14" t="str">
        <f t="shared" si="30"/>
        <v>VOB</v>
      </c>
      <c r="F389" s="111" t="s">
        <v>535</v>
      </c>
      <c r="G389" s="3" t="s">
        <v>26</v>
      </c>
      <c r="H389" s="111">
        <v>0.57999999999999996</v>
      </c>
      <c r="I389" s="22" t="s">
        <v>536</v>
      </c>
      <c r="J389" s="21" t="s">
        <v>203</v>
      </c>
      <c r="K389" s="55" t="s">
        <v>1188</v>
      </c>
      <c r="L389" s="55" t="s">
        <v>1189</v>
      </c>
      <c r="M389" s="96"/>
      <c r="N389" s="45" t="s">
        <v>1190</v>
      </c>
      <c r="O389" s="23" t="s">
        <v>29</v>
      </c>
      <c r="P389" s="88">
        <v>2</v>
      </c>
      <c r="Q389" s="88">
        <v>1</v>
      </c>
      <c r="R389" s="66">
        <v>45458</v>
      </c>
      <c r="S389" s="54">
        <v>45468</v>
      </c>
      <c r="T389" s="45" t="s">
        <v>19</v>
      </c>
      <c r="U389" s="100">
        <v>1</v>
      </c>
      <c r="V389" s="108">
        <v>0</v>
      </c>
      <c r="W389" s="22" t="s">
        <v>40</v>
      </c>
      <c r="X389" s="88" t="str">
        <f t="shared" si="31"/>
        <v>D2IDW4A-10.58</v>
      </c>
      <c r="Y389" s="22" t="s">
        <v>32</v>
      </c>
      <c r="Z389" s="78"/>
    </row>
    <row r="390" spans="1:26" s="70" customFormat="1" ht="24.95" customHeight="1">
      <c r="A390" s="80"/>
      <c r="B390" s="99">
        <v>45444</v>
      </c>
      <c r="C390" s="135" t="s">
        <v>35</v>
      </c>
      <c r="D390" s="59" t="s">
        <v>20</v>
      </c>
      <c r="E390" s="14" t="str">
        <f t="shared" si="30"/>
        <v>11B</v>
      </c>
      <c r="F390" s="111" t="s">
        <v>24</v>
      </c>
      <c r="G390" s="15" t="s">
        <v>27</v>
      </c>
      <c r="H390" s="111">
        <v>0.8</v>
      </c>
      <c r="I390" s="22" t="s">
        <v>28</v>
      </c>
      <c r="J390" s="21" t="s">
        <v>562</v>
      </c>
      <c r="K390" s="21" t="s">
        <v>562</v>
      </c>
      <c r="L390" s="55" t="s">
        <v>1191</v>
      </c>
      <c r="M390" s="96"/>
      <c r="N390" s="45" t="s">
        <v>1192</v>
      </c>
      <c r="O390" s="23" t="s">
        <v>39</v>
      </c>
      <c r="P390" s="88">
        <v>3</v>
      </c>
      <c r="Q390" s="88">
        <v>1</v>
      </c>
      <c r="R390" s="66">
        <v>45463</v>
      </c>
      <c r="S390" s="54">
        <v>45464</v>
      </c>
      <c r="T390" s="45" t="s">
        <v>19</v>
      </c>
      <c r="U390" s="100">
        <v>1</v>
      </c>
      <c r="V390" s="108">
        <v>0</v>
      </c>
      <c r="W390" s="22" t="s">
        <v>40</v>
      </c>
      <c r="X390" s="88" t="str">
        <f t="shared" si="31"/>
        <v>2PEW0.8</v>
      </c>
      <c r="Y390" s="22" t="s">
        <v>32</v>
      </c>
      <c r="Z390" s="78"/>
    </row>
    <row r="391" spans="1:26" s="70" customFormat="1" ht="24.95" customHeight="1">
      <c r="A391" s="80"/>
      <c r="B391" s="99">
        <v>45444</v>
      </c>
      <c r="C391" s="135" t="s">
        <v>35</v>
      </c>
      <c r="D391" s="59" t="s">
        <v>20</v>
      </c>
      <c r="E391" s="14" t="str">
        <f t="shared" si="30"/>
        <v>V9B</v>
      </c>
      <c r="F391" s="111" t="s">
        <v>23</v>
      </c>
      <c r="G391" s="15" t="s">
        <v>27</v>
      </c>
      <c r="H391" s="111">
        <v>1.2</v>
      </c>
      <c r="I391" s="22" t="s">
        <v>25</v>
      </c>
      <c r="J391" s="21" t="s">
        <v>1193</v>
      </c>
      <c r="K391" s="21" t="s">
        <v>1194</v>
      </c>
      <c r="L391" s="55" t="s">
        <v>1195</v>
      </c>
      <c r="M391" s="96"/>
      <c r="N391" s="45" t="s">
        <v>1196</v>
      </c>
      <c r="O391" s="23" t="s">
        <v>39</v>
      </c>
      <c r="P391" s="45" t="s">
        <v>349</v>
      </c>
      <c r="Q391" s="88">
        <v>7</v>
      </c>
      <c r="R391" s="66">
        <v>45462</v>
      </c>
      <c r="S391" s="54">
        <v>45464</v>
      </c>
      <c r="T391" s="45" t="s">
        <v>19</v>
      </c>
      <c r="U391" s="100">
        <v>7</v>
      </c>
      <c r="V391" s="108">
        <v>0</v>
      </c>
      <c r="W391" s="22" t="s">
        <v>40</v>
      </c>
      <c r="X391" s="88" t="str">
        <f t="shared" si="31"/>
        <v>0FBWSHC1.2</v>
      </c>
      <c r="Y391" s="22" t="s">
        <v>32</v>
      </c>
      <c r="Z391" s="78"/>
    </row>
    <row r="392" spans="1:26" s="70" customFormat="1" ht="24.95" customHeight="1">
      <c r="A392" s="80"/>
      <c r="B392" s="99">
        <v>45444</v>
      </c>
      <c r="C392" s="135" t="s">
        <v>35</v>
      </c>
      <c r="D392" s="59" t="s">
        <v>20</v>
      </c>
      <c r="E392" s="14" t="str">
        <f t="shared" si="30"/>
        <v>11A</v>
      </c>
      <c r="F392" s="111" t="s">
        <v>151</v>
      </c>
      <c r="G392" s="15" t="s">
        <v>27</v>
      </c>
      <c r="H392" s="111">
        <v>0.9</v>
      </c>
      <c r="I392" s="22" t="s">
        <v>31</v>
      </c>
      <c r="J392" s="21" t="s">
        <v>1197</v>
      </c>
      <c r="K392" s="21" t="s">
        <v>831</v>
      </c>
      <c r="L392" s="55" t="s">
        <v>1198</v>
      </c>
      <c r="M392" s="96"/>
      <c r="N392" s="45" t="s">
        <v>1199</v>
      </c>
      <c r="O392" s="23" t="s">
        <v>1200</v>
      </c>
      <c r="P392" s="45" t="s">
        <v>38</v>
      </c>
      <c r="Q392" s="88">
        <v>20</v>
      </c>
      <c r="R392" s="66">
        <v>45463</v>
      </c>
      <c r="S392" s="54">
        <v>45468</v>
      </c>
      <c r="T392" s="45" t="s">
        <v>19</v>
      </c>
      <c r="U392" s="100">
        <v>20</v>
      </c>
      <c r="V392" s="108">
        <v>0</v>
      </c>
      <c r="W392" s="22" t="s">
        <v>40</v>
      </c>
      <c r="X392" s="88" t="str">
        <f t="shared" si="31"/>
        <v>D1PEW-B-2Y0.9</v>
      </c>
      <c r="Y392" s="22" t="s">
        <v>32</v>
      </c>
      <c r="Z392" s="78"/>
    </row>
    <row r="393" spans="1:26" s="70" customFormat="1" ht="24.95" customHeight="1">
      <c r="A393" s="80"/>
      <c r="B393" s="99">
        <v>45444</v>
      </c>
      <c r="C393" s="135" t="s">
        <v>35</v>
      </c>
      <c r="D393" s="59" t="s">
        <v>20</v>
      </c>
      <c r="E393" s="14" t="str">
        <f t="shared" si="30"/>
        <v>V6B</v>
      </c>
      <c r="F393" s="111" t="s">
        <v>165</v>
      </c>
      <c r="G393" s="3" t="s">
        <v>26</v>
      </c>
      <c r="H393" s="111">
        <v>1.81</v>
      </c>
      <c r="I393" s="22" t="s">
        <v>28</v>
      </c>
      <c r="J393" s="21" t="s">
        <v>317</v>
      </c>
      <c r="K393" s="21" t="s">
        <v>831</v>
      </c>
      <c r="L393" s="55" t="s">
        <v>879</v>
      </c>
      <c r="M393" s="96"/>
      <c r="N393" s="45" t="s">
        <v>1201</v>
      </c>
      <c r="O393" s="23" t="s">
        <v>30</v>
      </c>
      <c r="P393" s="45">
        <v>1</v>
      </c>
      <c r="Q393" s="88">
        <v>1</v>
      </c>
      <c r="R393" s="66">
        <v>45456</v>
      </c>
      <c r="S393" s="54">
        <v>45464</v>
      </c>
      <c r="T393" s="45" t="s">
        <v>19</v>
      </c>
      <c r="U393" s="100">
        <v>1</v>
      </c>
      <c r="V393" s="108">
        <v>0</v>
      </c>
      <c r="W393" s="22" t="s">
        <v>40</v>
      </c>
      <c r="X393" s="88" t="str">
        <f t="shared" si="31"/>
        <v>2EIWAD-O1.81</v>
      </c>
      <c r="Y393" s="22" t="s">
        <v>32</v>
      </c>
      <c r="Z393" s="78"/>
    </row>
    <row r="394" spans="1:26" s="70" customFormat="1" ht="24.95" customHeight="1">
      <c r="A394" s="80"/>
      <c r="B394" s="99">
        <v>45444</v>
      </c>
      <c r="C394" s="135" t="s">
        <v>35</v>
      </c>
      <c r="D394" s="59" t="s">
        <v>20</v>
      </c>
      <c r="E394" s="14" t="str">
        <f t="shared" si="30"/>
        <v>12A</v>
      </c>
      <c r="F394" s="111" t="s">
        <v>165</v>
      </c>
      <c r="G394" s="3" t="s">
        <v>26</v>
      </c>
      <c r="H394" s="111">
        <v>1.81</v>
      </c>
      <c r="I394" s="22" t="s">
        <v>187</v>
      </c>
      <c r="J394" s="21" t="s">
        <v>1202</v>
      </c>
      <c r="K394" s="21"/>
      <c r="L394" s="55" t="s">
        <v>1203</v>
      </c>
      <c r="M394" s="96"/>
      <c r="N394" s="45" t="s">
        <v>1204</v>
      </c>
      <c r="O394" s="23" t="s">
        <v>30</v>
      </c>
      <c r="P394" s="45" t="s">
        <v>38</v>
      </c>
      <c r="Q394" s="88">
        <v>5</v>
      </c>
      <c r="R394" s="66">
        <v>45464</v>
      </c>
      <c r="S394" s="54">
        <v>45469</v>
      </c>
      <c r="T394" s="45" t="s">
        <v>19</v>
      </c>
      <c r="U394" s="100">
        <v>5</v>
      </c>
      <c r="V394" s="108">
        <v>0</v>
      </c>
      <c r="W394" s="22" t="s">
        <v>40</v>
      </c>
      <c r="X394" s="88" t="str">
        <f t="shared" si="31"/>
        <v>2EIWAD-O1.81</v>
      </c>
      <c r="Y394" s="22" t="s">
        <v>32</v>
      </c>
      <c r="Z394" s="78"/>
    </row>
    <row r="395" spans="1:26" s="70" customFormat="1" ht="24.95" customHeight="1">
      <c r="A395" s="80"/>
      <c r="B395" s="99">
        <v>45444</v>
      </c>
      <c r="C395" s="135" t="s">
        <v>35</v>
      </c>
      <c r="D395" s="59" t="s">
        <v>20</v>
      </c>
      <c r="E395" s="14" t="str">
        <f t="shared" si="30"/>
        <v>11B</v>
      </c>
      <c r="F395" s="111" t="s">
        <v>24</v>
      </c>
      <c r="G395" s="15" t="s">
        <v>27</v>
      </c>
      <c r="H395" s="111">
        <v>0.8</v>
      </c>
      <c r="I395" s="22" t="s">
        <v>28</v>
      </c>
      <c r="J395" s="21" t="s">
        <v>562</v>
      </c>
      <c r="K395" s="21" t="s">
        <v>562</v>
      </c>
      <c r="L395" s="55" t="s">
        <v>60</v>
      </c>
      <c r="M395" s="96"/>
      <c r="N395" s="45" t="s">
        <v>1205</v>
      </c>
      <c r="O395" s="23" t="s">
        <v>29</v>
      </c>
      <c r="P395" s="45">
        <v>5</v>
      </c>
      <c r="Q395" s="88">
        <v>1</v>
      </c>
      <c r="R395" s="66">
        <v>45465</v>
      </c>
      <c r="S395" s="54">
        <v>45469</v>
      </c>
      <c r="T395" s="45" t="s">
        <v>19</v>
      </c>
      <c r="U395" s="100">
        <v>1</v>
      </c>
      <c r="V395" s="108">
        <v>0</v>
      </c>
      <c r="W395" s="22" t="s">
        <v>40</v>
      </c>
      <c r="X395" s="88" t="str">
        <f t="shared" si="31"/>
        <v>2PEW0.8</v>
      </c>
      <c r="Y395" s="22" t="s">
        <v>32</v>
      </c>
      <c r="Z395" s="78"/>
    </row>
    <row r="396" spans="1:26" s="70" customFormat="1" ht="24.95" customHeight="1">
      <c r="A396" s="80"/>
      <c r="B396" s="99">
        <v>45444</v>
      </c>
      <c r="C396" s="135" t="s">
        <v>35</v>
      </c>
      <c r="D396" s="59" t="s">
        <v>20</v>
      </c>
      <c r="E396" s="14" t="str">
        <f t="shared" si="30"/>
        <v>VOA</v>
      </c>
      <c r="F396" s="111" t="s">
        <v>259</v>
      </c>
      <c r="G396" s="15" t="s">
        <v>27</v>
      </c>
      <c r="H396" s="111">
        <v>0.6</v>
      </c>
      <c r="I396" s="22" t="s">
        <v>31</v>
      </c>
      <c r="J396" s="21" t="s">
        <v>1214</v>
      </c>
      <c r="K396" s="55" t="s">
        <v>1215</v>
      </c>
      <c r="L396" s="55"/>
      <c r="M396" s="96"/>
      <c r="N396" s="45" t="s">
        <v>1216</v>
      </c>
      <c r="O396" s="23" t="s">
        <v>30</v>
      </c>
      <c r="P396" s="45" t="s">
        <v>1217</v>
      </c>
      <c r="Q396" s="88">
        <v>4</v>
      </c>
      <c r="R396" s="66">
        <v>46539</v>
      </c>
      <c r="S396" s="54">
        <v>46539</v>
      </c>
      <c r="T396" s="45" t="s">
        <v>19</v>
      </c>
      <c r="U396" s="100">
        <v>4</v>
      </c>
      <c r="V396" s="108">
        <v>0</v>
      </c>
      <c r="W396" s="22" t="s">
        <v>40</v>
      </c>
      <c r="X396" s="88" t="str">
        <f t="shared" si="31"/>
        <v>D1-PEW-B-2T0.6</v>
      </c>
      <c r="Y396" s="22" t="s">
        <v>32</v>
      </c>
      <c r="Z396" s="78"/>
    </row>
    <row r="397" spans="1:26" s="70" customFormat="1" ht="24.95" customHeight="1">
      <c r="A397" s="80"/>
      <c r="B397" s="99">
        <v>45444</v>
      </c>
      <c r="C397" s="135" t="s">
        <v>35</v>
      </c>
      <c r="D397" s="59" t="s">
        <v>20</v>
      </c>
      <c r="E397" s="14" t="str">
        <f t="shared" si="30"/>
        <v>VOB</v>
      </c>
      <c r="F397" s="111" t="s">
        <v>535</v>
      </c>
      <c r="G397" s="15" t="s">
        <v>27</v>
      </c>
      <c r="H397" s="111">
        <v>0.57999999999999996</v>
      </c>
      <c r="I397" s="22" t="s">
        <v>536</v>
      </c>
      <c r="J397" s="21" t="s">
        <v>1218</v>
      </c>
      <c r="K397" s="55" t="s">
        <v>1219</v>
      </c>
      <c r="L397" s="55" t="s">
        <v>1220</v>
      </c>
      <c r="M397" s="96"/>
      <c r="N397" s="45" t="s">
        <v>1190</v>
      </c>
      <c r="O397" s="23" t="s">
        <v>30</v>
      </c>
      <c r="P397" s="45" t="s">
        <v>1210</v>
      </c>
      <c r="Q397" s="88">
        <v>4</v>
      </c>
      <c r="R397" s="66">
        <v>41791</v>
      </c>
      <c r="S397" s="54">
        <v>46905</v>
      </c>
      <c r="T397" s="45" t="s">
        <v>19</v>
      </c>
      <c r="U397" s="100">
        <v>4</v>
      </c>
      <c r="V397" s="108">
        <v>0</v>
      </c>
      <c r="W397" s="22" t="s">
        <v>40</v>
      </c>
      <c r="X397" s="88" t="str">
        <f t="shared" si="31"/>
        <v>D2IDW4A-10.58</v>
      </c>
      <c r="Y397" s="22" t="s">
        <v>32</v>
      </c>
      <c r="Z397" s="78"/>
    </row>
    <row r="398" spans="1:26" s="70" customFormat="1" ht="24.95" customHeight="1">
      <c r="A398" s="80"/>
      <c r="B398" s="99">
        <v>45444</v>
      </c>
      <c r="C398" s="135" t="s">
        <v>35</v>
      </c>
      <c r="D398" s="59" t="s">
        <v>20</v>
      </c>
      <c r="E398" s="14" t="str">
        <f t="shared" si="30"/>
        <v>V8A</v>
      </c>
      <c r="F398" s="111" t="s">
        <v>1221</v>
      </c>
      <c r="G398" s="3" t="s">
        <v>26</v>
      </c>
      <c r="H398" s="111">
        <v>1.57</v>
      </c>
      <c r="I398" s="22" t="s">
        <v>1222</v>
      </c>
      <c r="J398" s="21" t="s">
        <v>55</v>
      </c>
      <c r="K398" s="55" t="s">
        <v>1223</v>
      </c>
      <c r="L398" s="55" t="s">
        <v>1224</v>
      </c>
      <c r="M398" s="96"/>
      <c r="N398" s="45" t="s">
        <v>1225</v>
      </c>
      <c r="O398" s="23" t="s">
        <v>30</v>
      </c>
      <c r="P398" s="45">
        <v>1</v>
      </c>
      <c r="Q398" s="88">
        <v>1</v>
      </c>
      <c r="R398" s="66">
        <v>45471</v>
      </c>
      <c r="S398" s="54">
        <v>45475</v>
      </c>
      <c r="T398" s="45" t="s">
        <v>19</v>
      </c>
      <c r="U398" s="100">
        <v>1</v>
      </c>
      <c r="V398" s="108">
        <v>0</v>
      </c>
      <c r="W398" s="22" t="s">
        <v>40</v>
      </c>
      <c r="X398" s="88" t="str">
        <f t="shared" si="31"/>
        <v>1-AIWP1.57</v>
      </c>
      <c r="Y398" s="22" t="s">
        <v>32</v>
      </c>
      <c r="Z398" s="78"/>
    </row>
    <row r="399" spans="1:26" s="70" customFormat="1" ht="24.95" customHeight="1">
      <c r="A399" s="80"/>
      <c r="B399" s="99">
        <v>45444</v>
      </c>
      <c r="C399" s="135" t="s">
        <v>35</v>
      </c>
      <c r="D399" s="59" t="s">
        <v>20</v>
      </c>
      <c r="E399" s="14" t="str">
        <f t="shared" si="30"/>
        <v>V9A</v>
      </c>
      <c r="F399" s="111" t="s">
        <v>151</v>
      </c>
      <c r="G399" s="3" t="s">
        <v>26</v>
      </c>
      <c r="H399" s="111">
        <v>0.85</v>
      </c>
      <c r="I399" s="22" t="s">
        <v>31</v>
      </c>
      <c r="J399" s="21" t="s">
        <v>360</v>
      </c>
      <c r="K399" s="55"/>
      <c r="L399" s="55" t="s">
        <v>410</v>
      </c>
      <c r="M399" s="96"/>
      <c r="N399" s="45" t="s">
        <v>1228</v>
      </c>
      <c r="O399" s="23" t="s">
        <v>39</v>
      </c>
      <c r="P399" s="45" t="s">
        <v>367</v>
      </c>
      <c r="Q399" s="88">
        <v>9</v>
      </c>
      <c r="R399" s="66">
        <v>45474</v>
      </c>
      <c r="S399" s="54">
        <v>45475</v>
      </c>
      <c r="T399" s="45" t="s">
        <v>19</v>
      </c>
      <c r="U399" s="100">
        <v>9</v>
      </c>
      <c r="V399" s="108">
        <v>0</v>
      </c>
      <c r="W399" s="22" t="s">
        <v>40</v>
      </c>
      <c r="X399" s="88" t="str">
        <f t="shared" si="31"/>
        <v>D1PEW-B-2Y0.85</v>
      </c>
      <c r="Y399" s="22" t="s">
        <v>32</v>
      </c>
      <c r="Z399" s="78"/>
    </row>
    <row r="400" spans="1:26" s="70" customFormat="1" ht="24.95" customHeight="1">
      <c r="A400" s="80"/>
      <c r="B400" s="99">
        <v>45444</v>
      </c>
      <c r="C400" s="135" t="s">
        <v>35</v>
      </c>
      <c r="D400" s="59" t="s">
        <v>20</v>
      </c>
      <c r="E400" s="14" t="str">
        <f t="shared" si="30"/>
        <v>11A</v>
      </c>
      <c r="F400" s="111" t="s">
        <v>251</v>
      </c>
      <c r="G400" s="15" t="s">
        <v>27</v>
      </c>
      <c r="H400" s="111">
        <v>0.83</v>
      </c>
      <c r="I400" s="22" t="s">
        <v>252</v>
      </c>
      <c r="J400" s="21" t="s">
        <v>47</v>
      </c>
      <c r="K400" s="55" t="s">
        <v>831</v>
      </c>
      <c r="L400" s="55"/>
      <c r="M400" s="96"/>
      <c r="N400" s="45" t="s">
        <v>1261</v>
      </c>
      <c r="O400" s="23" t="s">
        <v>1262</v>
      </c>
      <c r="P400" s="45">
        <v>5</v>
      </c>
      <c r="Q400" s="88">
        <v>1</v>
      </c>
      <c r="R400" s="66">
        <v>45474</v>
      </c>
      <c r="S400" s="54">
        <v>45483</v>
      </c>
      <c r="T400" s="45" t="s">
        <v>19</v>
      </c>
      <c r="U400" s="100">
        <v>1</v>
      </c>
      <c r="V400" s="108">
        <v>0</v>
      </c>
      <c r="W400" s="22" t="s">
        <v>40</v>
      </c>
      <c r="X400" s="88" t="str">
        <f t="shared" si="31"/>
        <v>D2-IDW-4E0.83</v>
      </c>
      <c r="Y400" s="22" t="s">
        <v>32</v>
      </c>
      <c r="Z400" s="78"/>
    </row>
    <row r="401" spans="1:26" s="70" customFormat="1" ht="24.95" customHeight="1">
      <c r="A401" s="80"/>
      <c r="B401" s="99">
        <v>45444</v>
      </c>
      <c r="C401" s="135" t="s">
        <v>35</v>
      </c>
      <c r="D401" s="59" t="s">
        <v>20</v>
      </c>
      <c r="E401" s="14" t="str">
        <f t="shared" si="30"/>
        <v>11A</v>
      </c>
      <c r="F401" s="111" t="s">
        <v>251</v>
      </c>
      <c r="G401" s="15" t="s">
        <v>27</v>
      </c>
      <c r="H401" s="111">
        <v>0.83</v>
      </c>
      <c r="I401" s="22" t="s">
        <v>252</v>
      </c>
      <c r="J401" s="21" t="s">
        <v>47</v>
      </c>
      <c r="K401" s="21" t="s">
        <v>831</v>
      </c>
      <c r="L401" s="125" t="s">
        <v>59</v>
      </c>
      <c r="M401" s="96"/>
      <c r="N401" s="45" t="s">
        <v>1277</v>
      </c>
      <c r="O401" s="23" t="s">
        <v>29</v>
      </c>
      <c r="P401" s="45">
        <v>5</v>
      </c>
      <c r="Q401" s="88">
        <v>1</v>
      </c>
      <c r="R401" s="66">
        <v>45471</v>
      </c>
      <c r="S401" s="54">
        <v>45489</v>
      </c>
      <c r="T401" s="45" t="s">
        <v>19</v>
      </c>
      <c r="U401" s="100">
        <v>1</v>
      </c>
      <c r="V401" s="108">
        <v>0</v>
      </c>
      <c r="W401" s="22" t="s">
        <v>40</v>
      </c>
      <c r="X401" s="88" t="str">
        <f t="shared" si="31"/>
        <v>D2-IDW-4E0.83</v>
      </c>
      <c r="Y401" s="22" t="s">
        <v>32</v>
      </c>
      <c r="Z401" s="78"/>
    </row>
    <row r="402" spans="1:26" s="70" customFormat="1" ht="24.95" customHeight="1">
      <c r="A402" s="80"/>
      <c r="B402" s="99">
        <v>45444</v>
      </c>
      <c r="C402" s="135" t="s">
        <v>35</v>
      </c>
      <c r="D402" s="59" t="s">
        <v>20</v>
      </c>
      <c r="E402" s="14" t="str">
        <f t="shared" si="30"/>
        <v>11A</v>
      </c>
      <c r="F402" s="111" t="s">
        <v>151</v>
      </c>
      <c r="G402" s="15" t="s">
        <v>27</v>
      </c>
      <c r="H402" s="111">
        <v>0.9</v>
      </c>
      <c r="I402" s="22" t="s">
        <v>31</v>
      </c>
      <c r="J402" s="21" t="s">
        <v>47</v>
      </c>
      <c r="K402" s="21" t="s">
        <v>1303</v>
      </c>
      <c r="L402" s="125" t="s">
        <v>1191</v>
      </c>
      <c r="M402" s="96"/>
      <c r="N402" s="45" t="s">
        <v>1304</v>
      </c>
      <c r="O402" s="23" t="s">
        <v>195</v>
      </c>
      <c r="P402" s="45">
        <v>5</v>
      </c>
      <c r="Q402" s="88">
        <v>1</v>
      </c>
      <c r="R402" s="66">
        <v>45467</v>
      </c>
      <c r="S402" s="54">
        <v>45470</v>
      </c>
      <c r="T402" s="45" t="s">
        <v>19</v>
      </c>
      <c r="U402" s="100">
        <v>1</v>
      </c>
      <c r="V402" s="108">
        <v>0</v>
      </c>
      <c r="W402" s="22" t="s">
        <v>40</v>
      </c>
      <c r="X402" s="88" t="str">
        <f t="shared" si="31"/>
        <v>D1PEW-B-2Y0.9</v>
      </c>
      <c r="Y402" s="22" t="s">
        <v>32</v>
      </c>
      <c r="Z402" s="78"/>
    </row>
    <row r="403" spans="1:26" s="70" customFormat="1" ht="24.95" customHeight="1">
      <c r="A403" s="80"/>
      <c r="B403" s="99">
        <v>45444</v>
      </c>
      <c r="C403" s="135" t="s">
        <v>35</v>
      </c>
      <c r="D403" s="59" t="s">
        <v>20</v>
      </c>
      <c r="E403" s="14" t="str">
        <f t="shared" si="30"/>
        <v>VOB</v>
      </c>
      <c r="F403" s="111" t="s">
        <v>42</v>
      </c>
      <c r="G403" s="3" t="s">
        <v>26</v>
      </c>
      <c r="H403" s="111">
        <v>0.7</v>
      </c>
      <c r="I403" s="22" t="s">
        <v>43</v>
      </c>
      <c r="J403" s="21" t="s">
        <v>657</v>
      </c>
      <c r="K403" s="21"/>
      <c r="L403" s="125" t="s">
        <v>59</v>
      </c>
      <c r="M403" s="96"/>
      <c r="N403" s="45" t="s">
        <v>1337</v>
      </c>
      <c r="O403" s="23" t="s">
        <v>30</v>
      </c>
      <c r="P403" s="45">
        <v>2</v>
      </c>
      <c r="Q403" s="88">
        <v>1</v>
      </c>
      <c r="R403" s="66">
        <v>45472</v>
      </c>
      <c r="S403" s="54">
        <v>45495</v>
      </c>
      <c r="T403" s="45" t="s">
        <v>19</v>
      </c>
      <c r="U403" s="100">
        <v>1</v>
      </c>
      <c r="V403" s="108">
        <v>0</v>
      </c>
      <c r="W403" s="22" t="s">
        <v>40</v>
      </c>
      <c r="X403" s="88" t="str">
        <f t="shared" si="31"/>
        <v>D1-PEW-B-2Y0.7</v>
      </c>
      <c r="Y403" s="22" t="s">
        <v>32</v>
      </c>
      <c r="Z403" s="78"/>
    </row>
    <row r="404" spans="1:26" s="70" customFormat="1" ht="24.95" customHeight="1">
      <c r="A404" s="80"/>
      <c r="B404" s="99">
        <v>45444</v>
      </c>
      <c r="C404" s="135" t="s">
        <v>35</v>
      </c>
      <c r="D404" s="59" t="s">
        <v>20</v>
      </c>
      <c r="E404" s="14" t="str">
        <f t="shared" si="30"/>
        <v>V9A</v>
      </c>
      <c r="F404" s="111" t="s">
        <v>23</v>
      </c>
      <c r="G404" s="3" t="s">
        <v>26</v>
      </c>
      <c r="H404" s="111">
        <v>0.95</v>
      </c>
      <c r="I404" s="22" t="s">
        <v>25</v>
      </c>
      <c r="J404" s="21" t="s">
        <v>1454</v>
      </c>
      <c r="K404" s="21" t="s">
        <v>831</v>
      </c>
      <c r="L404" s="125" t="s">
        <v>1455</v>
      </c>
      <c r="M404" s="96"/>
      <c r="N404" s="45" t="s">
        <v>1456</v>
      </c>
      <c r="O404" s="23" t="s">
        <v>29</v>
      </c>
      <c r="P404" s="45">
        <v>6</v>
      </c>
      <c r="Q404" s="88">
        <v>1</v>
      </c>
      <c r="R404" s="66">
        <v>45531</v>
      </c>
      <c r="S404" s="54">
        <v>45471</v>
      </c>
      <c r="T404" s="45" t="s">
        <v>19</v>
      </c>
      <c r="U404" s="100">
        <v>1</v>
      </c>
      <c r="V404" s="108">
        <v>0</v>
      </c>
      <c r="W404" s="22" t="s">
        <v>40</v>
      </c>
      <c r="X404" s="88" t="str">
        <f t="shared" si="31"/>
        <v>0FBWSHC0.95</v>
      </c>
      <c r="Y404" s="22" t="s">
        <v>32</v>
      </c>
      <c r="Z404" s="78"/>
    </row>
    <row r="405" spans="1:26" s="70" customFormat="1" ht="24.95" customHeight="1">
      <c r="A405" s="80"/>
      <c r="B405" s="99">
        <v>45444</v>
      </c>
      <c r="C405" s="135" t="s">
        <v>35</v>
      </c>
      <c r="D405" s="59" t="s">
        <v>20</v>
      </c>
      <c r="E405" s="14" t="str">
        <f t="shared" si="30"/>
        <v>12A</v>
      </c>
      <c r="F405" s="111" t="s">
        <v>165</v>
      </c>
      <c r="G405" s="15" t="s">
        <v>27</v>
      </c>
      <c r="H405" s="111">
        <v>1.81</v>
      </c>
      <c r="I405" s="22" t="s">
        <v>28</v>
      </c>
      <c r="J405" s="21" t="s">
        <v>166</v>
      </c>
      <c r="K405" s="21" t="s">
        <v>1457</v>
      </c>
      <c r="L405" s="125" t="s">
        <v>1182</v>
      </c>
      <c r="M405" s="96"/>
      <c r="N405" s="45" t="s">
        <v>1458</v>
      </c>
      <c r="O405" s="23" t="s">
        <v>29</v>
      </c>
      <c r="P405" s="45" t="s">
        <v>38</v>
      </c>
      <c r="Q405" s="88">
        <v>5</v>
      </c>
      <c r="R405" s="66">
        <v>45470</v>
      </c>
      <c r="S405" s="54">
        <v>45523</v>
      </c>
      <c r="T405" s="45" t="s">
        <v>19</v>
      </c>
      <c r="U405" s="100">
        <v>5</v>
      </c>
      <c r="V405" s="108">
        <v>0</v>
      </c>
      <c r="W405" s="22" t="s">
        <v>40</v>
      </c>
      <c r="X405" s="88" t="str">
        <f t="shared" si="31"/>
        <v>2EIWAD-O1.81</v>
      </c>
      <c r="Y405" s="22" t="s">
        <v>32</v>
      </c>
      <c r="Z405" s="78"/>
    </row>
    <row r="406" spans="1:26" s="70" customFormat="1" ht="24.95" customHeight="1">
      <c r="A406" s="80"/>
      <c r="B406" s="99">
        <v>45444</v>
      </c>
      <c r="C406" s="135" t="s">
        <v>35</v>
      </c>
      <c r="D406" s="59" t="s">
        <v>20</v>
      </c>
      <c r="E406" s="14" t="str">
        <f>IF(B401="","",LEFT(N406,3))</f>
        <v>11A</v>
      </c>
      <c r="F406" s="111" t="s">
        <v>151</v>
      </c>
      <c r="G406" s="15" t="s">
        <v>27</v>
      </c>
      <c r="H406" s="111">
        <v>0.9</v>
      </c>
      <c r="I406" s="22" t="s">
        <v>31</v>
      </c>
      <c r="J406" s="21" t="s">
        <v>47</v>
      </c>
      <c r="K406" s="21" t="s">
        <v>1459</v>
      </c>
      <c r="L406" s="125" t="s">
        <v>60</v>
      </c>
      <c r="M406" s="96"/>
      <c r="N406" s="45" t="s">
        <v>1124</v>
      </c>
      <c r="O406" s="23" t="s">
        <v>195</v>
      </c>
      <c r="P406" s="45">
        <v>1</v>
      </c>
      <c r="Q406" s="88">
        <v>1</v>
      </c>
      <c r="R406" s="66">
        <v>45448</v>
      </c>
      <c r="S406" s="54">
        <v>45462</v>
      </c>
      <c r="T406" s="45" t="s">
        <v>19</v>
      </c>
      <c r="U406" s="100">
        <v>1</v>
      </c>
      <c r="V406" s="108">
        <v>0</v>
      </c>
      <c r="W406" s="22" t="s">
        <v>40</v>
      </c>
      <c r="X406" s="88" t="str">
        <f t="shared" si="31"/>
        <v>D1PEW-B-2Y0.9</v>
      </c>
      <c r="Y406" s="22" t="s">
        <v>32</v>
      </c>
      <c r="Z406" s="78"/>
    </row>
    <row r="407" spans="1:26" s="70" customFormat="1" ht="24.95" customHeight="1">
      <c r="A407" s="80"/>
      <c r="B407" s="99">
        <v>45444</v>
      </c>
      <c r="C407" s="137" t="s">
        <v>51</v>
      </c>
      <c r="D407" s="59" t="s">
        <v>20</v>
      </c>
      <c r="E407" s="14" t="str">
        <f>IF(B397="","",LEFT(N407,3))</f>
        <v>H77</v>
      </c>
      <c r="F407" s="111" t="s">
        <v>976</v>
      </c>
      <c r="G407" s="3" t="s">
        <v>26</v>
      </c>
      <c r="H407" s="111">
        <v>0.12</v>
      </c>
      <c r="I407" s="22" t="s">
        <v>983</v>
      </c>
      <c r="J407" s="21" t="s">
        <v>1147</v>
      </c>
      <c r="K407" s="55" t="s">
        <v>1148</v>
      </c>
      <c r="L407" s="125" t="s">
        <v>1149</v>
      </c>
      <c r="M407" s="96"/>
      <c r="N407" s="45" t="s">
        <v>1150</v>
      </c>
      <c r="O407" s="23" t="s">
        <v>30</v>
      </c>
      <c r="P407" s="88">
        <v>1</v>
      </c>
      <c r="Q407" s="88">
        <v>1</v>
      </c>
      <c r="R407" s="66">
        <v>45452</v>
      </c>
      <c r="S407" s="54">
        <v>45454</v>
      </c>
      <c r="T407" s="45" t="s">
        <v>19</v>
      </c>
      <c r="U407" s="100">
        <v>1</v>
      </c>
      <c r="V407" s="108">
        <v>0</v>
      </c>
      <c r="W407" s="22" t="s">
        <v>40</v>
      </c>
      <c r="X407" s="88" t="str">
        <f t="shared" si="31"/>
        <v>1FBWHCS0.12</v>
      </c>
      <c r="Y407" s="22" t="s">
        <v>32</v>
      </c>
      <c r="Z407" s="78"/>
    </row>
    <row r="408" spans="1:26" s="70" customFormat="1" ht="24.95" customHeight="1">
      <c r="A408" s="80"/>
      <c r="B408" s="99">
        <v>45444</v>
      </c>
      <c r="C408" s="137" t="s">
        <v>51</v>
      </c>
      <c r="D408" s="59" t="s">
        <v>20</v>
      </c>
      <c r="E408" s="14" t="str">
        <f>IF(B398="","",LEFT(N408,3))</f>
        <v>H5B</v>
      </c>
      <c r="F408" s="111" t="s">
        <v>482</v>
      </c>
      <c r="G408" s="3" t="s">
        <v>26</v>
      </c>
      <c r="H408" s="111">
        <v>0.21</v>
      </c>
      <c r="I408" s="22" t="s">
        <v>25</v>
      </c>
      <c r="J408" s="21" t="s">
        <v>1084</v>
      </c>
      <c r="K408" s="55" t="s">
        <v>1100</v>
      </c>
      <c r="L408" s="125"/>
      <c r="M408" s="96"/>
      <c r="N408" s="45" t="s">
        <v>1151</v>
      </c>
      <c r="O408" s="23" t="s">
        <v>30</v>
      </c>
      <c r="P408" s="88">
        <v>1</v>
      </c>
      <c r="Q408" s="88">
        <v>1</v>
      </c>
      <c r="R408" s="66">
        <v>45452</v>
      </c>
      <c r="S408" s="54">
        <v>45454</v>
      </c>
      <c r="T408" s="45" t="s">
        <v>19</v>
      </c>
      <c r="U408" s="100">
        <v>1</v>
      </c>
      <c r="V408" s="108">
        <v>0</v>
      </c>
      <c r="W408" s="22" t="s">
        <v>40</v>
      </c>
      <c r="X408" s="88" t="str">
        <f t="shared" si="31"/>
        <v>2AIW0.21</v>
      </c>
      <c r="Y408" s="22" t="s">
        <v>32</v>
      </c>
      <c r="Z408" s="78"/>
    </row>
    <row r="409" spans="1:26" s="70" customFormat="1" ht="24.95" customHeight="1">
      <c r="A409" s="80"/>
      <c r="B409" s="99">
        <v>45444</v>
      </c>
      <c r="C409" s="137" t="s">
        <v>51</v>
      </c>
      <c r="D409" s="59" t="s">
        <v>20</v>
      </c>
      <c r="E409" s="14" t="str">
        <f>IF(B377="","",LEFT(N409,3))</f>
        <v>H5A</v>
      </c>
      <c r="F409" s="111" t="s">
        <v>482</v>
      </c>
      <c r="G409" s="3" t="s">
        <v>26</v>
      </c>
      <c r="H409" s="111">
        <v>0.21</v>
      </c>
      <c r="I409" s="22" t="s">
        <v>25</v>
      </c>
      <c r="J409" s="21" t="s">
        <v>1084</v>
      </c>
      <c r="K409" s="55" t="s">
        <v>1100</v>
      </c>
      <c r="L409" s="125"/>
      <c r="M409" s="96"/>
      <c r="N409" s="45" t="s">
        <v>1152</v>
      </c>
      <c r="O409" s="23" t="s">
        <v>30</v>
      </c>
      <c r="P409" s="88">
        <v>1</v>
      </c>
      <c r="Q409" s="88">
        <v>1</v>
      </c>
      <c r="R409" s="66">
        <v>45452</v>
      </c>
      <c r="S409" s="54">
        <v>45454</v>
      </c>
      <c r="T409" s="45" t="s">
        <v>19</v>
      </c>
      <c r="U409" s="100">
        <v>1</v>
      </c>
      <c r="V409" s="108">
        <v>0</v>
      </c>
      <c r="W409" s="22" t="s">
        <v>40</v>
      </c>
      <c r="X409" s="88" t="str">
        <f t="shared" si="31"/>
        <v>2AIW0.21</v>
      </c>
      <c r="Y409" s="22" t="s">
        <v>32</v>
      </c>
      <c r="Z409" s="78"/>
    </row>
    <row r="410" spans="1:26" s="70" customFormat="1" ht="24.95" customHeight="1">
      <c r="A410" s="80"/>
      <c r="B410" s="99">
        <v>45444</v>
      </c>
      <c r="C410" s="137" t="s">
        <v>51</v>
      </c>
      <c r="D410" s="59" t="s">
        <v>20</v>
      </c>
      <c r="E410" s="14" t="str">
        <f>IF(B378="","",LEFT(N410,3))</f>
        <v>H1A</v>
      </c>
      <c r="F410" s="111" t="s">
        <v>52</v>
      </c>
      <c r="G410" s="3" t="s">
        <v>26</v>
      </c>
      <c r="H410" s="111">
        <v>0.26</v>
      </c>
      <c r="I410" s="22" t="s">
        <v>43</v>
      </c>
      <c r="J410" s="21" t="s">
        <v>657</v>
      </c>
      <c r="K410" s="55" t="s">
        <v>1153</v>
      </c>
      <c r="L410" s="125" t="s">
        <v>225</v>
      </c>
      <c r="M410" s="96"/>
      <c r="N410" s="45" t="s">
        <v>1154</v>
      </c>
      <c r="O410" s="23" t="s">
        <v>30</v>
      </c>
      <c r="P410" s="88">
        <v>1</v>
      </c>
      <c r="Q410" s="88">
        <v>1</v>
      </c>
      <c r="R410" s="66">
        <v>45451</v>
      </c>
      <c r="S410" s="54">
        <v>45454</v>
      </c>
      <c r="T410" s="45" t="s">
        <v>19</v>
      </c>
      <c r="U410" s="100">
        <v>1</v>
      </c>
      <c r="V410" s="108">
        <v>0</v>
      </c>
      <c r="W410" s="22" t="s">
        <v>40</v>
      </c>
      <c r="X410" s="88" t="str">
        <f t="shared" si="31"/>
        <v>D2IDW4-B-20.26</v>
      </c>
      <c r="Y410" s="22" t="s">
        <v>32</v>
      </c>
      <c r="Z410" s="78"/>
    </row>
    <row r="411" spans="1:26" s="70" customFormat="1" ht="24.95" customHeight="1">
      <c r="A411" s="80"/>
      <c r="B411" s="99">
        <v>45444</v>
      </c>
      <c r="C411" s="137" t="s">
        <v>51</v>
      </c>
      <c r="D411" s="59" t="s">
        <v>20</v>
      </c>
      <c r="E411" s="14" t="str">
        <f>IF(B379="","",LEFT(N411,3))</f>
        <v>H1B</v>
      </c>
      <c r="F411" s="111" t="s">
        <v>52</v>
      </c>
      <c r="G411" s="3" t="s">
        <v>26</v>
      </c>
      <c r="H411" s="111">
        <v>0.26</v>
      </c>
      <c r="I411" s="22" t="s">
        <v>43</v>
      </c>
      <c r="J411" s="21" t="s">
        <v>221</v>
      </c>
      <c r="K411" s="55" t="s">
        <v>1153</v>
      </c>
      <c r="L411" s="125" t="s">
        <v>225</v>
      </c>
      <c r="M411" s="96"/>
      <c r="N411" s="45" t="s">
        <v>1155</v>
      </c>
      <c r="O411" s="23" t="s">
        <v>29</v>
      </c>
      <c r="P411" s="88">
        <v>1</v>
      </c>
      <c r="Q411" s="88">
        <v>1</v>
      </c>
      <c r="R411" s="66">
        <v>45451</v>
      </c>
      <c r="S411" s="54">
        <v>45454</v>
      </c>
      <c r="T411" s="45" t="s">
        <v>19</v>
      </c>
      <c r="U411" s="100">
        <v>1</v>
      </c>
      <c r="V411" s="108">
        <v>0</v>
      </c>
      <c r="W411" s="22" t="s">
        <v>40</v>
      </c>
      <c r="X411" s="88" t="str">
        <f t="shared" si="31"/>
        <v>D2IDW4-B-20.26</v>
      </c>
      <c r="Y411" s="22" t="s">
        <v>32</v>
      </c>
      <c r="Z411" s="78"/>
    </row>
    <row r="412" spans="1:26" s="70" customFormat="1" ht="24.95" customHeight="1">
      <c r="A412" s="80"/>
      <c r="B412" s="99">
        <v>45444</v>
      </c>
      <c r="C412" s="137" t="s">
        <v>51</v>
      </c>
      <c r="D412" s="59" t="s">
        <v>20</v>
      </c>
      <c r="E412" s="14" t="str">
        <f>IF(B407="","",LEFT(N412,3))</f>
        <v>H1A</v>
      </c>
      <c r="F412" s="111" t="s">
        <v>52</v>
      </c>
      <c r="G412" s="3" t="s">
        <v>26</v>
      </c>
      <c r="H412" s="111">
        <v>0.26</v>
      </c>
      <c r="I412" s="22" t="s">
        <v>43</v>
      </c>
      <c r="J412" s="21" t="s">
        <v>53</v>
      </c>
      <c r="K412" s="55" t="s">
        <v>777</v>
      </c>
      <c r="L412" s="125" t="s">
        <v>1156</v>
      </c>
      <c r="M412" s="96"/>
      <c r="N412" s="45" t="s">
        <v>1157</v>
      </c>
      <c r="O412" s="23" t="s">
        <v>30</v>
      </c>
      <c r="P412" s="88">
        <v>1</v>
      </c>
      <c r="Q412" s="88">
        <v>1</v>
      </c>
      <c r="R412" s="66">
        <v>45451</v>
      </c>
      <c r="S412" s="54">
        <v>45454</v>
      </c>
      <c r="T412" s="45" t="s">
        <v>19</v>
      </c>
      <c r="U412" s="100">
        <v>1</v>
      </c>
      <c r="V412" s="108">
        <v>0</v>
      </c>
      <c r="W412" s="22" t="s">
        <v>40</v>
      </c>
      <c r="X412" s="88" t="str">
        <f t="shared" si="31"/>
        <v>D2IDW4-B-20.26</v>
      </c>
      <c r="Y412" s="22" t="s">
        <v>32</v>
      </c>
      <c r="Z412" s="78"/>
    </row>
    <row r="413" spans="1:26" s="70" customFormat="1" ht="24.95" customHeight="1">
      <c r="A413" s="80"/>
      <c r="B413" s="99">
        <v>45444</v>
      </c>
      <c r="C413" s="137" t="s">
        <v>51</v>
      </c>
      <c r="D413" s="59" t="s">
        <v>20</v>
      </c>
      <c r="E413" s="14" t="str">
        <f t="shared" si="30"/>
        <v>H1A</v>
      </c>
      <c r="F413" s="111" t="s">
        <v>52</v>
      </c>
      <c r="G413" s="3" t="s">
        <v>26</v>
      </c>
      <c r="H413" s="111">
        <v>0.26</v>
      </c>
      <c r="I413" s="22" t="s">
        <v>43</v>
      </c>
      <c r="J413" s="21" t="s">
        <v>53</v>
      </c>
      <c r="K413" s="55" t="s">
        <v>777</v>
      </c>
      <c r="L413" s="125" t="s">
        <v>1156</v>
      </c>
      <c r="M413" s="96"/>
      <c r="N413" s="45" t="s">
        <v>1158</v>
      </c>
      <c r="O413" s="23" t="s">
        <v>30</v>
      </c>
      <c r="P413" s="88">
        <v>2</v>
      </c>
      <c r="Q413" s="88">
        <v>1</v>
      </c>
      <c r="R413" s="66">
        <v>45453</v>
      </c>
      <c r="S413" s="54">
        <v>45454</v>
      </c>
      <c r="T413" s="45" t="s">
        <v>19</v>
      </c>
      <c r="U413" s="100">
        <v>1</v>
      </c>
      <c r="V413" s="108">
        <v>0</v>
      </c>
      <c r="W413" s="22" t="s">
        <v>40</v>
      </c>
      <c r="X413" s="88" t="str">
        <f t="shared" si="31"/>
        <v>D2IDW4-B-20.26</v>
      </c>
      <c r="Y413" s="22" t="s">
        <v>32</v>
      </c>
      <c r="Z413" s="78"/>
    </row>
    <row r="414" spans="1:26" s="70" customFormat="1" ht="24.95" customHeight="1">
      <c r="A414" s="80"/>
      <c r="B414" s="99">
        <v>45444</v>
      </c>
      <c r="C414" s="137" t="s">
        <v>51</v>
      </c>
      <c r="D414" s="59" t="s">
        <v>20</v>
      </c>
      <c r="E414" s="14" t="str">
        <f>IF(B409="","",LEFT(N414,3))</f>
        <v>H1B</v>
      </c>
      <c r="F414" s="111" t="s">
        <v>52</v>
      </c>
      <c r="G414" s="3" t="s">
        <v>26</v>
      </c>
      <c r="H414" s="111">
        <v>0.26</v>
      </c>
      <c r="I414" s="22" t="s">
        <v>43</v>
      </c>
      <c r="J414" s="21" t="s">
        <v>1159</v>
      </c>
      <c r="K414" s="130" t="s">
        <v>1160</v>
      </c>
      <c r="L414" s="125" t="s">
        <v>778</v>
      </c>
      <c r="M414" s="96"/>
      <c r="N414" s="45" t="s">
        <v>1155</v>
      </c>
      <c r="O414" s="23" t="s">
        <v>30</v>
      </c>
      <c r="P414" s="88">
        <v>1</v>
      </c>
      <c r="Q414" s="88">
        <v>1</v>
      </c>
      <c r="R414" s="66">
        <v>45450</v>
      </c>
      <c r="S414" s="54">
        <v>45454</v>
      </c>
      <c r="T414" s="45" t="s">
        <v>19</v>
      </c>
      <c r="U414" s="100">
        <v>1</v>
      </c>
      <c r="V414" s="108">
        <v>0</v>
      </c>
      <c r="W414" s="22" t="s">
        <v>40</v>
      </c>
      <c r="X414" s="88" t="str">
        <f t="shared" si="31"/>
        <v>D2IDW4-B-20.26</v>
      </c>
      <c r="Y414" s="22" t="s">
        <v>32</v>
      </c>
      <c r="Z414" s="78"/>
    </row>
    <row r="415" spans="1:26" s="70" customFormat="1" ht="24.95" customHeight="1">
      <c r="A415" s="80"/>
      <c r="B415" s="99">
        <v>45444</v>
      </c>
      <c r="C415" s="137" t="s">
        <v>51</v>
      </c>
      <c r="D415" s="59" t="s">
        <v>20</v>
      </c>
      <c r="E415" s="14" t="str">
        <f>IF(B409="","",LEFT(N414,3))</f>
        <v>H1B</v>
      </c>
      <c r="F415" s="111" t="s">
        <v>52</v>
      </c>
      <c r="G415" s="3" t="s">
        <v>26</v>
      </c>
      <c r="H415" s="111">
        <v>0.26</v>
      </c>
      <c r="I415" s="22" t="s">
        <v>43</v>
      </c>
      <c r="J415" s="21" t="s">
        <v>1166</v>
      </c>
      <c r="K415" s="55" t="s">
        <v>1156</v>
      </c>
      <c r="L415" s="125" t="s">
        <v>1167</v>
      </c>
      <c r="M415" s="96"/>
      <c r="N415" s="45" t="s">
        <v>1168</v>
      </c>
      <c r="O415" s="23" t="s">
        <v>30</v>
      </c>
      <c r="P415" s="88">
        <v>2</v>
      </c>
      <c r="Q415" s="88">
        <v>1</v>
      </c>
      <c r="R415" s="66">
        <v>45445</v>
      </c>
      <c r="S415" s="54">
        <v>45459</v>
      </c>
      <c r="T415" s="45" t="s">
        <v>19</v>
      </c>
      <c r="U415" s="100">
        <v>1</v>
      </c>
      <c r="V415" s="108">
        <v>0</v>
      </c>
      <c r="W415" s="22" t="s">
        <v>40</v>
      </c>
      <c r="X415" s="88" t="str">
        <f t="shared" si="31"/>
        <v>D2IDW4-B-20.26</v>
      </c>
      <c r="Y415" s="22" t="s">
        <v>32</v>
      </c>
      <c r="Z415" s="78"/>
    </row>
    <row r="416" spans="1:26" s="70" customFormat="1" ht="24.95" customHeight="1">
      <c r="A416" s="80"/>
      <c r="B416" s="99">
        <v>45444</v>
      </c>
      <c r="C416" s="137" t="s">
        <v>51</v>
      </c>
      <c r="D416" s="59" t="s">
        <v>20</v>
      </c>
      <c r="E416" s="14" t="str">
        <f t="shared" ref="E416:E420" si="32">IF(B410="","",LEFT(N415,3))</f>
        <v>H1A</v>
      </c>
      <c r="F416" s="111" t="s">
        <v>52</v>
      </c>
      <c r="G416" s="3" t="s">
        <v>26</v>
      </c>
      <c r="H416" s="111">
        <v>0.26</v>
      </c>
      <c r="I416" s="22" t="s">
        <v>43</v>
      </c>
      <c r="J416" s="21" t="s">
        <v>299</v>
      </c>
      <c r="K416" s="55" t="s">
        <v>1169</v>
      </c>
      <c r="L416" s="125" t="s">
        <v>1167</v>
      </c>
      <c r="M416" s="96"/>
      <c r="N416" s="45" t="s">
        <v>1170</v>
      </c>
      <c r="O416" s="23" t="s">
        <v>30</v>
      </c>
      <c r="P416" s="88">
        <v>3</v>
      </c>
      <c r="Q416" s="88">
        <v>1</v>
      </c>
      <c r="R416" s="66">
        <v>45445</v>
      </c>
      <c r="S416" s="54">
        <v>45459</v>
      </c>
      <c r="T416" s="45" t="s">
        <v>19</v>
      </c>
      <c r="U416" s="100">
        <v>1</v>
      </c>
      <c r="V416" s="108">
        <v>0</v>
      </c>
      <c r="W416" s="22" t="s">
        <v>40</v>
      </c>
      <c r="X416" s="88" t="str">
        <f t="shared" si="31"/>
        <v>D2IDW4-B-20.26</v>
      </c>
      <c r="Y416" s="22" t="s">
        <v>32</v>
      </c>
      <c r="Z416" s="78"/>
    </row>
    <row r="417" spans="1:26" s="70" customFormat="1" ht="24.95" customHeight="1">
      <c r="A417" s="80"/>
      <c r="B417" s="99">
        <v>45444</v>
      </c>
      <c r="C417" s="137" t="s">
        <v>51</v>
      </c>
      <c r="D417" s="59" t="s">
        <v>20</v>
      </c>
      <c r="E417" s="14" t="str">
        <f t="shared" si="32"/>
        <v>H1A</v>
      </c>
      <c r="F417" s="111" t="s">
        <v>648</v>
      </c>
      <c r="G417" s="3" t="s">
        <v>26</v>
      </c>
      <c r="H417" s="111">
        <v>0.28999999999999998</v>
      </c>
      <c r="I417" s="22" t="s">
        <v>286</v>
      </c>
      <c r="J417" s="21" t="s">
        <v>162</v>
      </c>
      <c r="K417" s="55" t="s">
        <v>1171</v>
      </c>
      <c r="L417" s="125" t="s">
        <v>1086</v>
      </c>
      <c r="M417" s="96"/>
      <c r="N417" s="45" t="s">
        <v>1172</v>
      </c>
      <c r="O417" s="23" t="s">
        <v>581</v>
      </c>
      <c r="P417" s="88">
        <v>1</v>
      </c>
      <c r="Q417" s="88">
        <v>2</v>
      </c>
      <c r="R417" s="66">
        <v>45431</v>
      </c>
      <c r="S417" s="54">
        <v>45459</v>
      </c>
      <c r="T417" s="45" t="s">
        <v>19</v>
      </c>
      <c r="U417" s="100">
        <v>2</v>
      </c>
      <c r="V417" s="108">
        <v>0</v>
      </c>
      <c r="W417" s="22" t="s">
        <v>40</v>
      </c>
      <c r="X417" s="88" t="str">
        <f t="shared" si="31"/>
        <v>1AIW0.29</v>
      </c>
      <c r="Y417" s="22" t="s">
        <v>32</v>
      </c>
      <c r="Z417" s="78"/>
    </row>
    <row r="418" spans="1:26" s="70" customFormat="1" ht="24.95" customHeight="1">
      <c r="A418" s="80"/>
      <c r="B418" s="99">
        <v>45444</v>
      </c>
      <c r="C418" s="137" t="s">
        <v>51</v>
      </c>
      <c r="D418" s="59" t="s">
        <v>20</v>
      </c>
      <c r="E418" s="14" t="str">
        <f t="shared" si="32"/>
        <v>H3B</v>
      </c>
      <c r="F418" s="111" t="s">
        <v>52</v>
      </c>
      <c r="G418" s="15" t="s">
        <v>27</v>
      </c>
      <c r="H418" s="111">
        <v>0.26</v>
      </c>
      <c r="I418" s="22" t="s">
        <v>43</v>
      </c>
      <c r="J418" s="21" t="s">
        <v>1206</v>
      </c>
      <c r="K418" s="21" t="s">
        <v>1207</v>
      </c>
      <c r="L418" s="125" t="s">
        <v>1208</v>
      </c>
      <c r="M418" s="96"/>
      <c r="N418" s="45" t="s">
        <v>1209</v>
      </c>
      <c r="O418" s="23" t="s">
        <v>30</v>
      </c>
      <c r="P418" s="45" t="s">
        <v>1210</v>
      </c>
      <c r="Q418" s="88">
        <v>4</v>
      </c>
      <c r="R418" s="66">
        <v>45462</v>
      </c>
      <c r="S418" s="54">
        <v>45469</v>
      </c>
      <c r="T418" s="45" t="s">
        <v>19</v>
      </c>
      <c r="U418" s="100">
        <v>4</v>
      </c>
      <c r="V418" s="108">
        <v>0</v>
      </c>
      <c r="W418" s="22" t="s">
        <v>40</v>
      </c>
      <c r="X418" s="88" t="str">
        <f t="shared" si="31"/>
        <v>D2IDW4-B-20.26</v>
      </c>
      <c r="Y418" s="22" t="s">
        <v>32</v>
      </c>
      <c r="Z418" s="78"/>
    </row>
    <row r="419" spans="1:26" s="70" customFormat="1" ht="24.95" customHeight="1">
      <c r="A419" s="80"/>
      <c r="B419" s="99">
        <v>45444</v>
      </c>
      <c r="C419" s="137" t="s">
        <v>51</v>
      </c>
      <c r="D419" s="59" t="s">
        <v>20</v>
      </c>
      <c r="E419" s="14" t="str">
        <f t="shared" si="32"/>
        <v>H1A</v>
      </c>
      <c r="F419" s="111" t="s">
        <v>52</v>
      </c>
      <c r="G419" s="3" t="s">
        <v>26</v>
      </c>
      <c r="H419" s="111">
        <v>0.27</v>
      </c>
      <c r="I419" s="22" t="s">
        <v>31</v>
      </c>
      <c r="J419" s="21" t="s">
        <v>53</v>
      </c>
      <c r="K419" s="55"/>
      <c r="L419" s="125" t="s">
        <v>1156</v>
      </c>
      <c r="M419" s="96"/>
      <c r="N419" s="45" t="s">
        <v>1211</v>
      </c>
      <c r="O419" s="23" t="s">
        <v>30</v>
      </c>
      <c r="P419" s="88">
        <v>4</v>
      </c>
      <c r="Q419" s="88">
        <v>1</v>
      </c>
      <c r="R419" s="66">
        <v>45460</v>
      </c>
      <c r="S419" s="54">
        <v>45470</v>
      </c>
      <c r="T419" s="45" t="s">
        <v>19</v>
      </c>
      <c r="U419" s="100">
        <v>1</v>
      </c>
      <c r="V419" s="108">
        <v>0</v>
      </c>
      <c r="W419" s="22" t="s">
        <v>40</v>
      </c>
      <c r="X419" s="88" t="str">
        <f t="shared" si="31"/>
        <v>D2IDW4-B-20.27</v>
      </c>
      <c r="Y419" s="22" t="s">
        <v>32</v>
      </c>
      <c r="Z419" s="78"/>
    </row>
    <row r="420" spans="1:26" s="70" customFormat="1" ht="24.95" customHeight="1">
      <c r="A420" s="80"/>
      <c r="B420" s="99">
        <v>45444</v>
      </c>
      <c r="C420" s="137" t="s">
        <v>51</v>
      </c>
      <c r="D420" s="59" t="s">
        <v>20</v>
      </c>
      <c r="E420" s="14" t="str">
        <f t="shared" si="32"/>
        <v>H2A</v>
      </c>
      <c r="F420" s="111" t="s">
        <v>52</v>
      </c>
      <c r="G420" s="3" t="s">
        <v>26</v>
      </c>
      <c r="H420" s="111">
        <v>0.24</v>
      </c>
      <c r="I420" s="22" t="s">
        <v>31</v>
      </c>
      <c r="J420" s="21" t="s">
        <v>287</v>
      </c>
      <c r="K420" s="55"/>
      <c r="L420" s="125" t="s">
        <v>1212</v>
      </c>
      <c r="M420" s="96"/>
      <c r="N420" s="45" t="s">
        <v>1213</v>
      </c>
      <c r="O420" s="23" t="s">
        <v>30</v>
      </c>
      <c r="P420" s="88">
        <v>5</v>
      </c>
      <c r="Q420" s="88">
        <v>1</v>
      </c>
      <c r="R420" s="66">
        <v>45459</v>
      </c>
      <c r="S420" s="54">
        <v>45470</v>
      </c>
      <c r="T420" s="45" t="s">
        <v>19</v>
      </c>
      <c r="U420" s="100">
        <v>1</v>
      </c>
      <c r="V420" s="108">
        <v>0</v>
      </c>
      <c r="W420" s="22" t="s">
        <v>40</v>
      </c>
      <c r="X420" s="88" t="str">
        <f t="shared" si="31"/>
        <v>D2IDW4-B-20.24</v>
      </c>
      <c r="Y420" s="22" t="s">
        <v>32</v>
      </c>
      <c r="Z420" s="78"/>
    </row>
    <row r="421" spans="1:26" s="70" customFormat="1" ht="24.95" customHeight="1">
      <c r="A421" s="80"/>
      <c r="B421" s="99">
        <v>45444</v>
      </c>
      <c r="C421" s="137" t="s">
        <v>51</v>
      </c>
      <c r="D421" s="59" t="s">
        <v>20</v>
      </c>
      <c r="E421" s="14" t="str">
        <f>IF(B415="","",LEFT(N420,3))</f>
        <v>H2A</v>
      </c>
      <c r="F421" s="111" t="s">
        <v>429</v>
      </c>
      <c r="G421" s="3" t="s">
        <v>26</v>
      </c>
      <c r="H421" s="111">
        <v>0.47</v>
      </c>
      <c r="I421" s="22" t="s">
        <v>430</v>
      </c>
      <c r="J421" s="21" t="s">
        <v>1202</v>
      </c>
      <c r="K421" s="55"/>
      <c r="L421" s="125"/>
      <c r="M421" s="96"/>
      <c r="N421" s="45" t="s">
        <v>1274</v>
      </c>
      <c r="O421" s="23" t="s">
        <v>30</v>
      </c>
      <c r="P421" s="45">
        <v>1</v>
      </c>
      <c r="Q421" s="88">
        <v>1</v>
      </c>
      <c r="R421" s="66">
        <v>45455</v>
      </c>
      <c r="S421" s="54">
        <v>45484</v>
      </c>
      <c r="T421" s="45" t="s">
        <v>19</v>
      </c>
      <c r="U421" s="100">
        <v>1</v>
      </c>
      <c r="V421" s="108">
        <v>0</v>
      </c>
      <c r="W421" s="22" t="s">
        <v>40</v>
      </c>
      <c r="X421" s="88" t="str">
        <f>F421&amp;H421</f>
        <v>2-ATZ-3000.47</v>
      </c>
      <c r="Y421" s="22" t="s">
        <v>32</v>
      </c>
      <c r="Z421" s="78"/>
    </row>
    <row r="422" spans="1:26" s="70" customFormat="1" ht="24.95" customHeight="1">
      <c r="A422" s="80"/>
      <c r="B422" s="99">
        <v>45444</v>
      </c>
      <c r="C422" s="137" t="s">
        <v>51</v>
      </c>
      <c r="D422" s="59" t="s">
        <v>20</v>
      </c>
      <c r="E422" s="14" t="str">
        <f>IF(B415="","",LEFT(N422,3))</f>
        <v>H77</v>
      </c>
      <c r="F422" s="111" t="s">
        <v>429</v>
      </c>
      <c r="G422" s="3" t="s">
        <v>26</v>
      </c>
      <c r="H422" s="111">
        <v>0.13</v>
      </c>
      <c r="I422" s="22" t="s">
        <v>286</v>
      </c>
      <c r="J422" s="21" t="s">
        <v>162</v>
      </c>
      <c r="K422" s="55"/>
      <c r="L422" s="125" t="s">
        <v>996</v>
      </c>
      <c r="M422" s="96"/>
      <c r="N422" s="45" t="s">
        <v>1288</v>
      </c>
      <c r="O422" s="23" t="s">
        <v>176</v>
      </c>
      <c r="P422" s="23" t="s">
        <v>328</v>
      </c>
      <c r="Q422" s="88">
        <v>2</v>
      </c>
      <c r="R422" s="66">
        <v>45472</v>
      </c>
      <c r="S422" s="54">
        <v>45489</v>
      </c>
      <c r="T422" s="45" t="s">
        <v>19</v>
      </c>
      <c r="U422" s="100">
        <v>2</v>
      </c>
      <c r="V422" s="108">
        <v>0</v>
      </c>
      <c r="W422" s="22" t="s">
        <v>40</v>
      </c>
      <c r="X422" s="22" t="str">
        <f t="shared" ref="X422:X423" si="33">F422&amp;H422</f>
        <v>2-ATZ-3000.13</v>
      </c>
      <c r="Y422" s="22" t="s">
        <v>32</v>
      </c>
      <c r="Z422" s="78"/>
    </row>
    <row r="423" spans="1:26" s="70" customFormat="1" ht="24.95" customHeight="1">
      <c r="A423" s="80"/>
      <c r="B423" s="99">
        <v>45444</v>
      </c>
      <c r="C423" s="137" t="s">
        <v>51</v>
      </c>
      <c r="D423" s="59" t="s">
        <v>20</v>
      </c>
      <c r="E423" s="14" t="str">
        <f>IF(B416="","",LEFT(N423,3))</f>
        <v>H77</v>
      </c>
      <c r="F423" s="111" t="s">
        <v>429</v>
      </c>
      <c r="G423" s="3" t="s">
        <v>26</v>
      </c>
      <c r="H423" s="111">
        <v>0.13</v>
      </c>
      <c r="I423" s="22" t="s">
        <v>286</v>
      </c>
      <c r="J423" s="21" t="s">
        <v>162</v>
      </c>
      <c r="K423" s="21" t="s">
        <v>162</v>
      </c>
      <c r="L423" s="21" t="s">
        <v>1301</v>
      </c>
      <c r="M423" s="96"/>
      <c r="N423" s="45" t="s">
        <v>1302</v>
      </c>
      <c r="O423" s="23" t="s">
        <v>30</v>
      </c>
      <c r="P423" s="23" t="s">
        <v>328</v>
      </c>
      <c r="Q423" s="88">
        <v>1</v>
      </c>
      <c r="R423" s="66">
        <v>45474</v>
      </c>
      <c r="S423" s="54">
        <v>45489</v>
      </c>
      <c r="T423" s="45" t="s">
        <v>19</v>
      </c>
      <c r="U423" s="100">
        <v>1</v>
      </c>
      <c r="V423" s="108">
        <v>0</v>
      </c>
      <c r="W423" s="22" t="s">
        <v>40</v>
      </c>
      <c r="X423" s="22" t="str">
        <f t="shared" si="33"/>
        <v>2-ATZ-3000.13</v>
      </c>
      <c r="Y423" s="22" t="s">
        <v>32</v>
      </c>
      <c r="Z423" s="78"/>
    </row>
    <row r="424" spans="1:26" s="70" customFormat="1" ht="24.95" customHeight="1">
      <c r="A424" s="80"/>
      <c r="B424" s="99">
        <v>45474</v>
      </c>
      <c r="C424" s="138" t="s">
        <v>35</v>
      </c>
      <c r="D424" s="59" t="s">
        <v>20</v>
      </c>
      <c r="E424" s="14" t="str">
        <f>IF(B407="","",LEFT(N424,3))</f>
        <v>V9A</v>
      </c>
      <c r="F424" s="111" t="s">
        <v>151</v>
      </c>
      <c r="G424" s="3" t="s">
        <v>26</v>
      </c>
      <c r="H424" s="111">
        <v>0.85</v>
      </c>
      <c r="I424" s="22" t="s">
        <v>31</v>
      </c>
      <c r="J424" s="21" t="s">
        <v>360</v>
      </c>
      <c r="K424" s="55"/>
      <c r="L424" s="125" t="s">
        <v>1226</v>
      </c>
      <c r="M424" s="96"/>
      <c r="N424" s="45" t="s">
        <v>1227</v>
      </c>
      <c r="O424" s="23" t="s">
        <v>176</v>
      </c>
      <c r="P424" s="45" t="s">
        <v>367</v>
      </c>
      <c r="Q424" s="88">
        <v>18</v>
      </c>
      <c r="R424" s="66">
        <v>45474</v>
      </c>
      <c r="S424" s="54">
        <v>45475</v>
      </c>
      <c r="T424" s="45" t="s">
        <v>19</v>
      </c>
      <c r="U424" s="100">
        <v>18</v>
      </c>
      <c r="V424" s="108">
        <v>0</v>
      </c>
      <c r="W424" s="22" t="s">
        <v>40</v>
      </c>
      <c r="X424" s="88" t="str">
        <f t="shared" ref="X424" si="34">F424&amp;H424</f>
        <v>D1PEW-B-2Y0.85</v>
      </c>
      <c r="Y424" s="22" t="s">
        <v>32</v>
      </c>
      <c r="Z424" s="78"/>
    </row>
    <row r="425" spans="1:26" s="70" customFormat="1" ht="24.95" customHeight="1">
      <c r="A425" s="80"/>
      <c r="B425" s="99">
        <v>45474</v>
      </c>
      <c r="C425" s="138" t="s">
        <v>35</v>
      </c>
      <c r="D425" s="59" t="s">
        <v>20</v>
      </c>
      <c r="E425" s="14" t="str">
        <f t="shared" ref="E425:E439" si="35">IF(B407="","",LEFT(N425,3))</f>
        <v>V9B</v>
      </c>
      <c r="F425" s="111" t="s">
        <v>23</v>
      </c>
      <c r="G425" s="3" t="s">
        <v>26</v>
      </c>
      <c r="H425" s="111">
        <v>1.2</v>
      </c>
      <c r="I425" s="22" t="s">
        <v>25</v>
      </c>
      <c r="J425" s="21" t="s">
        <v>360</v>
      </c>
      <c r="K425" s="55"/>
      <c r="L425" s="125" t="s">
        <v>410</v>
      </c>
      <c r="M425" s="96"/>
      <c r="N425" s="45" t="s">
        <v>1229</v>
      </c>
      <c r="O425" s="23" t="s">
        <v>713</v>
      </c>
      <c r="P425" s="45">
        <v>2</v>
      </c>
      <c r="Q425" s="88">
        <v>1</v>
      </c>
      <c r="R425" s="66">
        <v>45476</v>
      </c>
      <c r="S425" s="54">
        <v>45481</v>
      </c>
      <c r="T425" s="45" t="s">
        <v>19</v>
      </c>
      <c r="U425" s="100">
        <v>1</v>
      </c>
      <c r="V425" s="108">
        <v>0</v>
      </c>
      <c r="W425" s="22" t="s">
        <v>40</v>
      </c>
      <c r="X425" s="88" t="str">
        <f t="shared" ref="X425:X509" si="36">F425&amp;H425</f>
        <v>0FBWSHC1.2</v>
      </c>
      <c r="Y425" s="22" t="s">
        <v>32</v>
      </c>
      <c r="Z425" s="78"/>
    </row>
    <row r="426" spans="1:26" s="70" customFormat="1" ht="24.95" customHeight="1">
      <c r="A426" s="80"/>
      <c r="B426" s="99">
        <v>45474</v>
      </c>
      <c r="C426" s="138" t="s">
        <v>35</v>
      </c>
      <c r="D426" s="59" t="s">
        <v>20</v>
      </c>
      <c r="E426" s="14" t="str">
        <f t="shared" si="35"/>
        <v>V9A</v>
      </c>
      <c r="F426" s="111" t="s">
        <v>23</v>
      </c>
      <c r="G426" s="15" t="s">
        <v>27</v>
      </c>
      <c r="H426" s="111">
        <v>0.95</v>
      </c>
      <c r="I426" s="22" t="s">
        <v>25</v>
      </c>
      <c r="J426" s="21" t="s">
        <v>1230</v>
      </c>
      <c r="K426" s="55" t="s">
        <v>1231</v>
      </c>
      <c r="L426" s="125" t="s">
        <v>1232</v>
      </c>
      <c r="M426" s="96"/>
      <c r="N426" s="45" t="s">
        <v>1233</v>
      </c>
      <c r="O426" s="23" t="s">
        <v>30</v>
      </c>
      <c r="P426" s="45" t="s">
        <v>349</v>
      </c>
      <c r="Q426" s="88">
        <v>7</v>
      </c>
      <c r="R426" s="66">
        <v>45478</v>
      </c>
      <c r="S426" s="54">
        <v>45483</v>
      </c>
      <c r="T426" s="45" t="s">
        <v>19</v>
      </c>
      <c r="U426" s="100">
        <v>7</v>
      </c>
      <c r="V426" s="108">
        <v>0</v>
      </c>
      <c r="W426" s="22" t="s">
        <v>40</v>
      </c>
      <c r="X426" s="88" t="str">
        <f t="shared" si="36"/>
        <v>0FBWSHC0.95</v>
      </c>
      <c r="Y426" s="22" t="s">
        <v>32</v>
      </c>
      <c r="Z426" s="78"/>
    </row>
    <row r="427" spans="1:26" s="70" customFormat="1" ht="24.95" customHeight="1">
      <c r="A427" s="80"/>
      <c r="B427" s="99">
        <v>45474</v>
      </c>
      <c r="C427" s="138" t="s">
        <v>35</v>
      </c>
      <c r="D427" s="59" t="s">
        <v>20</v>
      </c>
      <c r="E427" s="14" t="str">
        <f t="shared" si="35"/>
        <v>V9B</v>
      </c>
      <c r="F427" s="111" t="s">
        <v>23</v>
      </c>
      <c r="G427" s="15" t="s">
        <v>27</v>
      </c>
      <c r="H427" s="111">
        <v>1.2</v>
      </c>
      <c r="I427" s="22" t="s">
        <v>25</v>
      </c>
      <c r="J427" s="21" t="s">
        <v>1230</v>
      </c>
      <c r="K427" s="55" t="s">
        <v>1231</v>
      </c>
      <c r="L427" s="125" t="s">
        <v>1232</v>
      </c>
      <c r="M427" s="96"/>
      <c r="N427" s="45" t="s">
        <v>1234</v>
      </c>
      <c r="O427" s="23" t="s">
        <v>39</v>
      </c>
      <c r="P427" s="45" t="s">
        <v>349</v>
      </c>
      <c r="Q427" s="88">
        <v>7</v>
      </c>
      <c r="R427" s="66">
        <v>45478</v>
      </c>
      <c r="S427" s="54">
        <v>45483</v>
      </c>
      <c r="T427" s="45" t="s">
        <v>19</v>
      </c>
      <c r="U427" s="100">
        <v>7</v>
      </c>
      <c r="V427" s="108">
        <v>0</v>
      </c>
      <c r="W427" s="22" t="s">
        <v>40</v>
      </c>
      <c r="X427" s="88" t="str">
        <f t="shared" si="36"/>
        <v>0FBWSHC1.2</v>
      </c>
      <c r="Y427" s="22" t="s">
        <v>32</v>
      </c>
      <c r="Z427" s="78"/>
    </row>
    <row r="428" spans="1:26" s="70" customFormat="1" ht="24.95" customHeight="1">
      <c r="A428" s="80"/>
      <c r="B428" s="99">
        <v>45474</v>
      </c>
      <c r="C428" s="138" t="s">
        <v>35</v>
      </c>
      <c r="D428" s="59" t="s">
        <v>20</v>
      </c>
      <c r="E428" s="14" t="str">
        <f t="shared" si="35"/>
        <v>V9B</v>
      </c>
      <c r="F428" s="111" t="s">
        <v>23</v>
      </c>
      <c r="G428" s="3" t="s">
        <v>26</v>
      </c>
      <c r="H428" s="111">
        <v>1.2</v>
      </c>
      <c r="I428" s="22" t="s">
        <v>25</v>
      </c>
      <c r="J428" s="21" t="s">
        <v>1235</v>
      </c>
      <c r="K428" s="55" t="s">
        <v>1236</v>
      </c>
      <c r="L428" s="125" t="s">
        <v>1237</v>
      </c>
      <c r="M428" s="96"/>
      <c r="N428" s="45" t="s">
        <v>1238</v>
      </c>
      <c r="O428" s="23" t="s">
        <v>39</v>
      </c>
      <c r="P428" s="45" t="s">
        <v>349</v>
      </c>
      <c r="Q428" s="88">
        <v>7</v>
      </c>
      <c r="R428" s="66">
        <v>45477</v>
      </c>
      <c r="S428" s="54">
        <v>45483</v>
      </c>
      <c r="T428" s="45" t="s">
        <v>19</v>
      </c>
      <c r="U428" s="100">
        <v>7</v>
      </c>
      <c r="V428" s="108">
        <v>0</v>
      </c>
      <c r="W428" s="22" t="s">
        <v>40</v>
      </c>
      <c r="X428" s="88" t="str">
        <f t="shared" si="36"/>
        <v>0FBWSHC1.2</v>
      </c>
      <c r="Y428" s="22" t="s">
        <v>32</v>
      </c>
      <c r="Z428" s="78"/>
    </row>
    <row r="429" spans="1:26" s="70" customFormat="1" ht="24.95" customHeight="1">
      <c r="A429" s="80"/>
      <c r="B429" s="99">
        <v>45474</v>
      </c>
      <c r="C429" s="138" t="s">
        <v>35</v>
      </c>
      <c r="D429" s="59" t="s">
        <v>20</v>
      </c>
      <c r="E429" s="14" t="str">
        <f t="shared" si="35"/>
        <v>V9A</v>
      </c>
      <c r="F429" s="111" t="s">
        <v>23</v>
      </c>
      <c r="G429" s="15" t="s">
        <v>27</v>
      </c>
      <c r="H429" s="111">
        <v>0.95</v>
      </c>
      <c r="I429" s="22" t="s">
        <v>25</v>
      </c>
      <c r="J429" s="21" t="s">
        <v>415</v>
      </c>
      <c r="K429" s="55" t="s">
        <v>1239</v>
      </c>
      <c r="L429" s="125" t="s">
        <v>1240</v>
      </c>
      <c r="M429" s="96"/>
      <c r="N429" s="45" t="s">
        <v>1241</v>
      </c>
      <c r="O429" s="23" t="s">
        <v>39</v>
      </c>
      <c r="P429" s="45" t="s">
        <v>349</v>
      </c>
      <c r="Q429" s="88">
        <v>7</v>
      </c>
      <c r="R429" s="66">
        <v>45480</v>
      </c>
      <c r="S429" s="54">
        <v>45483</v>
      </c>
      <c r="T429" s="45" t="s">
        <v>19</v>
      </c>
      <c r="U429" s="100">
        <v>7</v>
      </c>
      <c r="V429" s="108">
        <v>0</v>
      </c>
      <c r="W429" s="22" t="s">
        <v>40</v>
      </c>
      <c r="X429" s="88" t="str">
        <f t="shared" si="36"/>
        <v>0FBWSHC0.95</v>
      </c>
      <c r="Y429" s="22" t="s">
        <v>32</v>
      </c>
      <c r="Z429" s="78"/>
    </row>
    <row r="430" spans="1:26" s="70" customFormat="1" ht="24.95" customHeight="1">
      <c r="A430" s="80"/>
      <c r="B430" s="99">
        <v>45474</v>
      </c>
      <c r="C430" s="138" t="s">
        <v>35</v>
      </c>
      <c r="D430" s="59" t="s">
        <v>20</v>
      </c>
      <c r="E430" s="14" t="str">
        <f t="shared" si="35"/>
        <v>12A</v>
      </c>
      <c r="F430" s="111" t="s">
        <v>165</v>
      </c>
      <c r="G430" s="3" t="s">
        <v>26</v>
      </c>
      <c r="H430" s="111">
        <v>1.81</v>
      </c>
      <c r="I430" s="22" t="s">
        <v>28</v>
      </c>
      <c r="J430" s="21" t="s">
        <v>1202</v>
      </c>
      <c r="K430" s="55"/>
      <c r="L430" s="125" t="s">
        <v>1244</v>
      </c>
      <c r="M430" s="96"/>
      <c r="N430" s="45" t="s">
        <v>1243</v>
      </c>
      <c r="O430" s="23" t="s">
        <v>30</v>
      </c>
      <c r="P430" s="45" t="s">
        <v>802</v>
      </c>
      <c r="Q430" s="88">
        <v>4</v>
      </c>
      <c r="R430" s="66">
        <v>45482</v>
      </c>
      <c r="S430" s="54">
        <v>45483</v>
      </c>
      <c r="T430" s="45" t="s">
        <v>19</v>
      </c>
      <c r="U430" s="100">
        <v>4</v>
      </c>
      <c r="V430" s="108">
        <v>0</v>
      </c>
      <c r="W430" s="22" t="s">
        <v>40</v>
      </c>
      <c r="X430" s="88" t="str">
        <f t="shared" si="36"/>
        <v>2EIWAD-O1.81</v>
      </c>
      <c r="Y430" s="22" t="s">
        <v>32</v>
      </c>
      <c r="Z430" s="78"/>
    </row>
    <row r="431" spans="1:26" s="70" customFormat="1" ht="24.95" customHeight="1">
      <c r="A431" s="80"/>
      <c r="B431" s="99">
        <v>45474</v>
      </c>
      <c r="C431" s="138" t="s">
        <v>35</v>
      </c>
      <c r="D431" s="59" t="s">
        <v>20</v>
      </c>
      <c r="E431" s="14" t="str">
        <f t="shared" si="35"/>
        <v>12A</v>
      </c>
      <c r="F431" s="111" t="s">
        <v>165</v>
      </c>
      <c r="G431" s="3" t="s">
        <v>26</v>
      </c>
      <c r="H431" s="111">
        <v>1.81</v>
      </c>
      <c r="I431" s="22" t="s">
        <v>28</v>
      </c>
      <c r="J431" s="21" t="s">
        <v>1202</v>
      </c>
      <c r="K431" s="55"/>
      <c r="L431" s="125" t="s">
        <v>1244</v>
      </c>
      <c r="M431" s="96"/>
      <c r="N431" s="45" t="s">
        <v>1245</v>
      </c>
      <c r="O431" s="23" t="s">
        <v>29</v>
      </c>
      <c r="P431" s="45" t="s">
        <v>38</v>
      </c>
      <c r="Q431" s="88">
        <v>5</v>
      </c>
      <c r="R431" s="66">
        <v>45480</v>
      </c>
      <c r="S431" s="54">
        <v>45483</v>
      </c>
      <c r="T431" s="45" t="s">
        <v>19</v>
      </c>
      <c r="U431" s="100">
        <v>5</v>
      </c>
      <c r="V431" s="108">
        <v>0</v>
      </c>
      <c r="W431" s="22" t="s">
        <v>40</v>
      </c>
      <c r="X431" s="88" t="str">
        <f t="shared" si="36"/>
        <v>2EIWAD-O1.81</v>
      </c>
      <c r="Y431" s="22" t="s">
        <v>32</v>
      </c>
      <c r="Z431" s="78"/>
    </row>
    <row r="432" spans="1:26" s="70" customFormat="1" ht="24.95" customHeight="1">
      <c r="A432" s="80"/>
      <c r="B432" s="99">
        <v>45474</v>
      </c>
      <c r="C432" s="138" t="s">
        <v>35</v>
      </c>
      <c r="D432" s="59" t="s">
        <v>20</v>
      </c>
      <c r="E432" s="14" t="str">
        <f t="shared" si="35"/>
        <v>V6A</v>
      </c>
      <c r="F432" s="111" t="s">
        <v>186</v>
      </c>
      <c r="G432" s="15" t="s">
        <v>27</v>
      </c>
      <c r="H432" s="111">
        <v>1.18</v>
      </c>
      <c r="I432" s="22" t="s">
        <v>187</v>
      </c>
      <c r="J432" s="21" t="s">
        <v>896</v>
      </c>
      <c r="K432" s="21" t="s">
        <v>1246</v>
      </c>
      <c r="L432" s="125" t="s">
        <v>1247</v>
      </c>
      <c r="M432" s="96"/>
      <c r="N432" s="45" t="s">
        <v>1248</v>
      </c>
      <c r="O432" s="23" t="s">
        <v>30</v>
      </c>
      <c r="P432" s="45" t="s">
        <v>38</v>
      </c>
      <c r="Q432" s="88">
        <v>5</v>
      </c>
      <c r="R432" s="66">
        <v>45482</v>
      </c>
      <c r="S432" s="54">
        <v>45483</v>
      </c>
      <c r="T432" s="45" t="s">
        <v>19</v>
      </c>
      <c r="U432" s="100">
        <v>5</v>
      </c>
      <c r="V432" s="108">
        <v>0</v>
      </c>
      <c r="W432" s="22" t="s">
        <v>40</v>
      </c>
      <c r="X432" s="88" t="str">
        <f t="shared" si="36"/>
        <v>1HGZ-MA1.18</v>
      </c>
      <c r="Y432" s="22" t="s">
        <v>32</v>
      </c>
      <c r="Z432" s="78"/>
    </row>
    <row r="433" spans="1:26" s="70" customFormat="1" ht="24.95" customHeight="1">
      <c r="A433" s="80"/>
      <c r="B433" s="99">
        <v>45474</v>
      </c>
      <c r="C433" s="138" t="s">
        <v>35</v>
      </c>
      <c r="D433" s="59" t="s">
        <v>20</v>
      </c>
      <c r="E433" s="14" t="str">
        <f t="shared" si="35"/>
        <v>VOA</v>
      </c>
      <c r="F433" s="111" t="s">
        <v>1249</v>
      </c>
      <c r="G433" s="3" t="s">
        <v>26</v>
      </c>
      <c r="H433" s="111">
        <v>0.5</v>
      </c>
      <c r="I433" s="22" t="s">
        <v>31</v>
      </c>
      <c r="J433" s="21" t="s">
        <v>1173</v>
      </c>
      <c r="K433" s="55"/>
      <c r="L433" s="125" t="s">
        <v>410</v>
      </c>
      <c r="M433" s="96"/>
      <c r="N433" s="45" t="s">
        <v>1250</v>
      </c>
      <c r="O433" s="23" t="s">
        <v>39</v>
      </c>
      <c r="P433" s="45" t="s">
        <v>38</v>
      </c>
      <c r="Q433" s="88">
        <v>5</v>
      </c>
      <c r="R433" s="66">
        <v>45482</v>
      </c>
      <c r="S433" s="54">
        <v>45483</v>
      </c>
      <c r="T433" s="45" t="s">
        <v>19</v>
      </c>
      <c r="U433" s="100">
        <v>5</v>
      </c>
      <c r="V433" s="108">
        <v>0</v>
      </c>
      <c r="W433" s="22" t="s">
        <v>40</v>
      </c>
      <c r="X433" s="88" t="str">
        <f t="shared" si="36"/>
        <v>D1-PEW-B2T0.5</v>
      </c>
      <c r="Y433" s="22" t="s">
        <v>32</v>
      </c>
      <c r="Z433" s="78"/>
    </row>
    <row r="434" spans="1:26" s="70" customFormat="1" ht="24.95" customHeight="1">
      <c r="A434" s="80"/>
      <c r="B434" s="99">
        <v>45474</v>
      </c>
      <c r="C434" s="138" t="s">
        <v>35</v>
      </c>
      <c r="D434" s="59" t="s">
        <v>20</v>
      </c>
      <c r="E434" s="14" t="str">
        <f t="shared" si="35"/>
        <v>12A</v>
      </c>
      <c r="F434" s="111" t="s">
        <v>165</v>
      </c>
      <c r="G434" s="3" t="s">
        <v>26</v>
      </c>
      <c r="H434" s="111">
        <v>1.81</v>
      </c>
      <c r="I434" s="22" t="s">
        <v>28</v>
      </c>
      <c r="J434" s="21" t="s">
        <v>1202</v>
      </c>
      <c r="K434" s="55"/>
      <c r="L434" s="125" t="s">
        <v>1251</v>
      </c>
      <c r="M434" s="96"/>
      <c r="N434" s="45" t="s">
        <v>1252</v>
      </c>
      <c r="O434" s="23" t="s">
        <v>30</v>
      </c>
      <c r="P434" s="45" t="s">
        <v>38</v>
      </c>
      <c r="Q434" s="88">
        <v>4</v>
      </c>
      <c r="R434" s="66">
        <v>45481</v>
      </c>
      <c r="S434" s="54">
        <v>45483</v>
      </c>
      <c r="T434" s="45" t="s">
        <v>19</v>
      </c>
      <c r="U434" s="100">
        <v>5</v>
      </c>
      <c r="V434" s="108">
        <v>0</v>
      </c>
      <c r="W434" s="22" t="s">
        <v>40</v>
      </c>
      <c r="X434" s="88" t="str">
        <f t="shared" si="36"/>
        <v>2EIWAD-O1.81</v>
      </c>
      <c r="Y434" s="22" t="s">
        <v>32</v>
      </c>
      <c r="Z434" s="78"/>
    </row>
    <row r="435" spans="1:26" s="70" customFormat="1" ht="24.95" customHeight="1">
      <c r="A435" s="80"/>
      <c r="B435" s="99">
        <v>45474</v>
      </c>
      <c r="C435" s="138" t="s">
        <v>35</v>
      </c>
      <c r="D435" s="59" t="s">
        <v>20</v>
      </c>
      <c r="E435" s="14" t="str">
        <f t="shared" si="35"/>
        <v>12A</v>
      </c>
      <c r="F435" s="111" t="s">
        <v>165</v>
      </c>
      <c r="G435" s="3" t="s">
        <v>26</v>
      </c>
      <c r="H435" s="111">
        <v>1.81</v>
      </c>
      <c r="I435" s="22" t="s">
        <v>28</v>
      </c>
      <c r="J435" s="21" t="s">
        <v>1202</v>
      </c>
      <c r="K435" s="55"/>
      <c r="L435" s="125" t="s">
        <v>1251</v>
      </c>
      <c r="M435" s="96"/>
      <c r="N435" s="45" t="s">
        <v>1245</v>
      </c>
      <c r="O435" s="23" t="s">
        <v>30</v>
      </c>
      <c r="P435" s="45" t="s">
        <v>38</v>
      </c>
      <c r="Q435" s="88">
        <v>5</v>
      </c>
      <c r="R435" s="66">
        <v>45480</v>
      </c>
      <c r="S435" s="54">
        <v>45483</v>
      </c>
      <c r="T435" s="45" t="s">
        <v>19</v>
      </c>
      <c r="U435" s="100">
        <v>5</v>
      </c>
      <c r="V435" s="108">
        <v>0</v>
      </c>
      <c r="W435" s="22" t="s">
        <v>40</v>
      </c>
      <c r="X435" s="88" t="str">
        <f t="shared" si="36"/>
        <v>2EIWAD-O1.81</v>
      </c>
      <c r="Y435" s="22" t="s">
        <v>32</v>
      </c>
      <c r="Z435" s="78"/>
    </row>
    <row r="436" spans="1:26" s="70" customFormat="1" ht="24.95" customHeight="1">
      <c r="A436" s="80"/>
      <c r="B436" s="99">
        <v>45474</v>
      </c>
      <c r="C436" s="138" t="s">
        <v>35</v>
      </c>
      <c r="D436" s="59" t="s">
        <v>20</v>
      </c>
      <c r="E436" s="14" t="str">
        <f t="shared" si="35"/>
        <v>V8D</v>
      </c>
      <c r="F436" s="111" t="s">
        <v>1253</v>
      </c>
      <c r="G436" s="3" t="s">
        <v>26</v>
      </c>
      <c r="H436" s="111">
        <v>0.75</v>
      </c>
      <c r="I436" s="22" t="s">
        <v>1254</v>
      </c>
      <c r="J436" s="21" t="s">
        <v>614</v>
      </c>
      <c r="K436" s="55" t="s">
        <v>1255</v>
      </c>
      <c r="L436" s="125" t="s">
        <v>809</v>
      </c>
      <c r="M436" s="96"/>
      <c r="N436" s="45" t="s">
        <v>1256</v>
      </c>
      <c r="O436" s="23" t="s">
        <v>1103</v>
      </c>
      <c r="P436" s="45">
        <v>3</v>
      </c>
      <c r="Q436" s="88">
        <v>1</v>
      </c>
      <c r="R436" s="66">
        <v>45480</v>
      </c>
      <c r="S436" s="54">
        <v>45483</v>
      </c>
      <c r="T436" s="45" t="s">
        <v>19</v>
      </c>
      <c r="U436" s="100">
        <v>1</v>
      </c>
      <c r="V436" s="108">
        <v>0</v>
      </c>
      <c r="W436" s="22" t="s">
        <v>40</v>
      </c>
      <c r="X436" s="88" t="str">
        <f t="shared" si="36"/>
        <v>1AIW-S0.75</v>
      </c>
      <c r="Y436" s="22" t="s">
        <v>32</v>
      </c>
      <c r="Z436" s="78"/>
    </row>
    <row r="437" spans="1:26" s="70" customFormat="1" ht="24.95" customHeight="1">
      <c r="A437" s="80"/>
      <c r="B437" s="99">
        <v>45474</v>
      </c>
      <c r="C437" s="138" t="s">
        <v>35</v>
      </c>
      <c r="D437" s="59" t="s">
        <v>20</v>
      </c>
      <c r="E437" s="14" t="str">
        <f t="shared" si="35"/>
        <v>V6A</v>
      </c>
      <c r="F437" s="111" t="s">
        <v>186</v>
      </c>
      <c r="G437" s="15" t="s">
        <v>27</v>
      </c>
      <c r="H437" s="111">
        <v>1.18</v>
      </c>
      <c r="I437" s="22" t="s">
        <v>187</v>
      </c>
      <c r="J437" s="21" t="s">
        <v>896</v>
      </c>
      <c r="K437" s="21" t="s">
        <v>1246</v>
      </c>
      <c r="L437" s="125" t="s">
        <v>1257</v>
      </c>
      <c r="M437" s="96"/>
      <c r="N437" s="45" t="s">
        <v>1258</v>
      </c>
      <c r="O437" s="23" t="s">
        <v>30</v>
      </c>
      <c r="P437" s="45" t="s">
        <v>38</v>
      </c>
      <c r="Q437" s="88">
        <v>5</v>
      </c>
      <c r="R437" s="66">
        <v>45481</v>
      </c>
      <c r="S437" s="54">
        <v>45483</v>
      </c>
      <c r="T437" s="45" t="s">
        <v>19</v>
      </c>
      <c r="U437" s="100">
        <v>5</v>
      </c>
      <c r="V437" s="108">
        <v>0</v>
      </c>
      <c r="W437" s="22" t="s">
        <v>40</v>
      </c>
      <c r="X437" s="88" t="str">
        <f t="shared" si="36"/>
        <v>1HGZ-MA1.18</v>
      </c>
      <c r="Y437" s="22" t="s">
        <v>32</v>
      </c>
      <c r="Z437" s="78"/>
    </row>
    <row r="438" spans="1:26" s="70" customFormat="1" ht="24.95" customHeight="1">
      <c r="A438" s="80"/>
      <c r="B438" s="99">
        <v>45474</v>
      </c>
      <c r="C438" s="138" t="s">
        <v>35</v>
      </c>
      <c r="D438" s="59" t="s">
        <v>20</v>
      </c>
      <c r="E438" s="14" t="str">
        <f t="shared" si="35"/>
        <v>12B</v>
      </c>
      <c r="F438" s="111" t="s">
        <v>633</v>
      </c>
      <c r="G438" s="3" t="s">
        <v>26</v>
      </c>
      <c r="H438" s="111">
        <v>1.25</v>
      </c>
      <c r="I438" s="22" t="s">
        <v>187</v>
      </c>
      <c r="J438" s="21" t="s">
        <v>1259</v>
      </c>
      <c r="K438" s="21" t="s">
        <v>1259</v>
      </c>
      <c r="L438" s="125"/>
      <c r="M438" s="96"/>
      <c r="N438" s="45" t="s">
        <v>1260</v>
      </c>
      <c r="O438" s="23" t="s">
        <v>39</v>
      </c>
      <c r="P438" s="45">
        <v>3</v>
      </c>
      <c r="Q438" s="88">
        <v>1</v>
      </c>
      <c r="R438" s="66">
        <v>45477</v>
      </c>
      <c r="S438" s="54">
        <v>45483</v>
      </c>
      <c r="T438" s="45" t="s">
        <v>19</v>
      </c>
      <c r="U438" s="100">
        <v>1</v>
      </c>
      <c r="V438" s="108">
        <v>0</v>
      </c>
      <c r="W438" s="22" t="s">
        <v>40</v>
      </c>
      <c r="X438" s="88" t="str">
        <f t="shared" si="36"/>
        <v>2EIWAD-P1.25</v>
      </c>
      <c r="Y438" s="22" t="s">
        <v>32</v>
      </c>
      <c r="Z438" s="78"/>
    </row>
    <row r="439" spans="1:26" s="70" customFormat="1" ht="24.95" customHeight="1">
      <c r="A439" s="80"/>
      <c r="B439" s="99">
        <v>45474</v>
      </c>
      <c r="C439" s="138" t="s">
        <v>35</v>
      </c>
      <c r="D439" s="59" t="s">
        <v>20</v>
      </c>
      <c r="E439" s="14" t="str">
        <f t="shared" si="35"/>
        <v>VOA</v>
      </c>
      <c r="F439" s="111" t="s">
        <v>259</v>
      </c>
      <c r="G439" s="3" t="s">
        <v>26</v>
      </c>
      <c r="H439" s="111">
        <v>0.5</v>
      </c>
      <c r="I439" s="22" t="s">
        <v>31</v>
      </c>
      <c r="J439" s="21" t="s">
        <v>360</v>
      </c>
      <c r="K439" s="21" t="s">
        <v>831</v>
      </c>
      <c r="L439" s="125" t="s">
        <v>1278</v>
      </c>
      <c r="M439" s="96"/>
      <c r="N439" s="45" t="s">
        <v>1279</v>
      </c>
      <c r="O439" s="23" t="s">
        <v>176</v>
      </c>
      <c r="P439" s="45" t="s">
        <v>38</v>
      </c>
      <c r="Q439" s="88">
        <v>10</v>
      </c>
      <c r="R439" s="66">
        <v>45483</v>
      </c>
      <c r="S439" s="54">
        <v>45489</v>
      </c>
      <c r="T439" s="45" t="s">
        <v>19</v>
      </c>
      <c r="U439" s="100">
        <v>10</v>
      </c>
      <c r="V439" s="108">
        <v>0</v>
      </c>
      <c r="W439" s="22" t="s">
        <v>40</v>
      </c>
      <c r="X439" s="88" t="str">
        <f t="shared" si="36"/>
        <v>D1-PEW-B-2T0.5</v>
      </c>
      <c r="Y439" s="22" t="s">
        <v>32</v>
      </c>
      <c r="Z439" s="78"/>
    </row>
    <row r="440" spans="1:26" s="70" customFormat="1" ht="24.95" customHeight="1">
      <c r="A440" s="80"/>
      <c r="B440" s="99">
        <v>45474</v>
      </c>
      <c r="C440" s="138" t="s">
        <v>35</v>
      </c>
      <c r="D440" s="59" t="s">
        <v>20</v>
      </c>
      <c r="E440" s="14" t="str">
        <f t="shared" ref="E440:E472" si="37">IF(B424="","",LEFT(N440,3))</f>
        <v>V6A</v>
      </c>
      <c r="F440" s="111" t="s">
        <v>186</v>
      </c>
      <c r="G440" s="15" t="s">
        <v>27</v>
      </c>
      <c r="H440" s="111">
        <v>1.18</v>
      </c>
      <c r="I440" s="22" t="s">
        <v>187</v>
      </c>
      <c r="J440" s="21" t="s">
        <v>896</v>
      </c>
      <c r="K440" s="21" t="s">
        <v>1280</v>
      </c>
      <c r="L440" s="125" t="s">
        <v>809</v>
      </c>
      <c r="M440" s="96"/>
      <c r="N440" s="45" t="s">
        <v>1281</v>
      </c>
      <c r="O440" s="23" t="s">
        <v>30</v>
      </c>
      <c r="P440" s="45" t="s">
        <v>38</v>
      </c>
      <c r="Q440" s="88">
        <v>5</v>
      </c>
      <c r="R440" s="66">
        <v>45483</v>
      </c>
      <c r="S440" s="54">
        <v>45489</v>
      </c>
      <c r="T440" s="45" t="s">
        <v>19</v>
      </c>
      <c r="U440" s="100">
        <v>5</v>
      </c>
      <c r="V440" s="108">
        <v>0</v>
      </c>
      <c r="W440" s="22" t="s">
        <v>40</v>
      </c>
      <c r="X440" s="88" t="str">
        <f t="shared" si="36"/>
        <v>1HGZ-MA1.18</v>
      </c>
      <c r="Y440" s="22" t="s">
        <v>32</v>
      </c>
      <c r="Z440" s="78"/>
    </row>
    <row r="441" spans="1:26" s="70" customFormat="1" ht="24.95" customHeight="1">
      <c r="A441" s="80"/>
      <c r="B441" s="99">
        <v>45474</v>
      </c>
      <c r="C441" s="138" t="s">
        <v>35</v>
      </c>
      <c r="D441" s="59" t="s">
        <v>20</v>
      </c>
      <c r="E441" s="14" t="str">
        <f t="shared" si="37"/>
        <v>V8D</v>
      </c>
      <c r="F441" s="111" t="s">
        <v>482</v>
      </c>
      <c r="G441" s="3" t="s">
        <v>26</v>
      </c>
      <c r="H441" s="111">
        <v>0.6</v>
      </c>
      <c r="I441" s="22" t="s">
        <v>487</v>
      </c>
      <c r="J441" s="21" t="s">
        <v>1259</v>
      </c>
      <c r="K441" s="21" t="s">
        <v>1289</v>
      </c>
      <c r="L441" s="125" t="s">
        <v>1299</v>
      </c>
      <c r="M441" s="96"/>
      <c r="N441" s="45" t="s">
        <v>1300</v>
      </c>
      <c r="O441" s="23" t="s">
        <v>29</v>
      </c>
      <c r="P441" s="45">
        <v>3</v>
      </c>
      <c r="Q441" s="88">
        <v>1</v>
      </c>
      <c r="R441" s="66">
        <v>1</v>
      </c>
      <c r="S441" s="54">
        <v>45489</v>
      </c>
      <c r="T441" s="45" t="s">
        <v>19</v>
      </c>
      <c r="U441" s="100">
        <v>1</v>
      </c>
      <c r="V441" s="108">
        <v>0</v>
      </c>
      <c r="W441" s="22" t="s">
        <v>40</v>
      </c>
      <c r="X441" s="88" t="str">
        <f t="shared" si="36"/>
        <v>2AIW0.6</v>
      </c>
      <c r="Y441" s="22" t="s">
        <v>32</v>
      </c>
      <c r="Z441" s="78"/>
    </row>
    <row r="442" spans="1:26" s="70" customFormat="1" ht="24.95" customHeight="1">
      <c r="A442" s="80"/>
      <c r="B442" s="99">
        <v>45474</v>
      </c>
      <c r="C442" s="138" t="s">
        <v>35</v>
      </c>
      <c r="D442" s="59" t="s">
        <v>20</v>
      </c>
      <c r="E442" s="14" t="str">
        <f t="shared" si="37"/>
        <v>V6B</v>
      </c>
      <c r="F442" s="111" t="s">
        <v>186</v>
      </c>
      <c r="G442" s="3" t="s">
        <v>26</v>
      </c>
      <c r="H442" s="111">
        <v>1.18</v>
      </c>
      <c r="I442" s="22" t="s">
        <v>187</v>
      </c>
      <c r="J442" s="21" t="s">
        <v>287</v>
      </c>
      <c r="K442" s="21" t="s">
        <v>831</v>
      </c>
      <c r="L442" s="125" t="s">
        <v>1318</v>
      </c>
      <c r="M442" s="96"/>
      <c r="N442" s="45" t="s">
        <v>1319</v>
      </c>
      <c r="O442" s="23" t="s">
        <v>29</v>
      </c>
      <c r="P442" s="45">
        <v>5</v>
      </c>
      <c r="Q442" s="88">
        <v>1</v>
      </c>
      <c r="R442" s="66">
        <v>45492</v>
      </c>
      <c r="S442" s="54">
        <v>45495</v>
      </c>
      <c r="T442" s="45" t="s">
        <v>19</v>
      </c>
      <c r="U442" s="100">
        <v>0</v>
      </c>
      <c r="V442" s="108">
        <v>1</v>
      </c>
      <c r="W442" s="22" t="s">
        <v>40</v>
      </c>
      <c r="X442" s="88" t="str">
        <f t="shared" si="36"/>
        <v>1HGZ-MA1.18</v>
      </c>
      <c r="Y442" s="22" t="s">
        <v>182</v>
      </c>
      <c r="Z442" s="78"/>
    </row>
    <row r="443" spans="1:26" s="70" customFormat="1" ht="24.95" customHeight="1">
      <c r="A443" s="80"/>
      <c r="B443" s="99">
        <v>45474</v>
      </c>
      <c r="C443" s="138" t="s">
        <v>35</v>
      </c>
      <c r="D443" s="59" t="s">
        <v>20</v>
      </c>
      <c r="E443" s="14" t="str">
        <f t="shared" si="37"/>
        <v>V6B</v>
      </c>
      <c r="F443" s="111" t="s">
        <v>186</v>
      </c>
      <c r="G443" s="3" t="s">
        <v>26</v>
      </c>
      <c r="H443" s="111">
        <v>1.18</v>
      </c>
      <c r="I443" s="22" t="s">
        <v>187</v>
      </c>
      <c r="J443" s="21" t="s">
        <v>287</v>
      </c>
      <c r="K443" s="21"/>
      <c r="L443" s="125" t="s">
        <v>1320</v>
      </c>
      <c r="M443" s="96"/>
      <c r="N443" s="45" t="s">
        <v>1319</v>
      </c>
      <c r="O443" s="23" t="s">
        <v>30</v>
      </c>
      <c r="P443" s="45">
        <v>5</v>
      </c>
      <c r="Q443" s="88">
        <v>1</v>
      </c>
      <c r="R443" s="66">
        <v>45492</v>
      </c>
      <c r="S443" s="54">
        <v>45495</v>
      </c>
      <c r="T443" s="45" t="s">
        <v>19</v>
      </c>
      <c r="U443" s="100">
        <v>0</v>
      </c>
      <c r="V443" s="108">
        <v>1</v>
      </c>
      <c r="W443" s="22" t="s">
        <v>40</v>
      </c>
      <c r="X443" s="88" t="str">
        <f t="shared" si="36"/>
        <v>1HGZ-MA1.18</v>
      </c>
      <c r="Y443" s="22" t="s">
        <v>182</v>
      </c>
      <c r="Z443" s="78"/>
    </row>
    <row r="444" spans="1:26" s="70" customFormat="1" ht="24.95" customHeight="1">
      <c r="A444" s="80"/>
      <c r="B444" s="99">
        <v>45474</v>
      </c>
      <c r="C444" s="138" t="s">
        <v>35</v>
      </c>
      <c r="D444" s="59" t="s">
        <v>20</v>
      </c>
      <c r="E444" s="14" t="str">
        <f t="shared" si="37"/>
        <v>12A</v>
      </c>
      <c r="F444" s="111" t="s">
        <v>165</v>
      </c>
      <c r="G444" s="15" t="s">
        <v>27</v>
      </c>
      <c r="H444" s="111">
        <v>1.81</v>
      </c>
      <c r="I444" s="22" t="s">
        <v>321</v>
      </c>
      <c r="J444" s="21" t="s">
        <v>166</v>
      </c>
      <c r="K444" s="21" t="s">
        <v>1321</v>
      </c>
      <c r="L444" s="125" t="s">
        <v>1322</v>
      </c>
      <c r="M444" s="96"/>
      <c r="N444" s="45" t="s">
        <v>1323</v>
      </c>
      <c r="O444" s="23" t="s">
        <v>30</v>
      </c>
      <c r="P444" s="45" t="s">
        <v>38</v>
      </c>
      <c r="Q444" s="88">
        <v>5</v>
      </c>
      <c r="R444" s="66">
        <v>45492</v>
      </c>
      <c r="S444" s="54">
        <v>45495</v>
      </c>
      <c r="T444" s="45" t="s">
        <v>19</v>
      </c>
      <c r="U444" s="100">
        <v>5</v>
      </c>
      <c r="V444" s="108">
        <v>0</v>
      </c>
      <c r="W444" s="22" t="s">
        <v>40</v>
      </c>
      <c r="X444" s="88" t="str">
        <f t="shared" si="36"/>
        <v>2EIWAD-O1.81</v>
      </c>
      <c r="Y444" s="22" t="s">
        <v>32</v>
      </c>
      <c r="Z444" s="78"/>
    </row>
    <row r="445" spans="1:26" s="70" customFormat="1" ht="24.95" customHeight="1">
      <c r="A445" s="80"/>
      <c r="B445" s="99">
        <v>45474</v>
      </c>
      <c r="C445" s="138" t="s">
        <v>35</v>
      </c>
      <c r="D445" s="59" t="s">
        <v>20</v>
      </c>
      <c r="E445" s="14" t="str">
        <f t="shared" si="37"/>
        <v>12A</v>
      </c>
      <c r="F445" s="111" t="s">
        <v>165</v>
      </c>
      <c r="G445" s="15" t="s">
        <v>27</v>
      </c>
      <c r="H445" s="111">
        <v>1.65</v>
      </c>
      <c r="I445" s="22" t="s">
        <v>321</v>
      </c>
      <c r="J445" s="21" t="s">
        <v>1324</v>
      </c>
      <c r="K445" s="21" t="s">
        <v>1321</v>
      </c>
      <c r="L445" s="125" t="s">
        <v>1322</v>
      </c>
      <c r="M445" s="96"/>
      <c r="N445" s="45" t="s">
        <v>1325</v>
      </c>
      <c r="O445" s="23" t="s">
        <v>30</v>
      </c>
      <c r="P445" s="45" t="s">
        <v>38</v>
      </c>
      <c r="Q445" s="88">
        <v>5</v>
      </c>
      <c r="R445" s="66">
        <v>45491</v>
      </c>
      <c r="S445" s="54">
        <v>45495</v>
      </c>
      <c r="T445" s="45" t="s">
        <v>19</v>
      </c>
      <c r="U445" s="100">
        <v>5</v>
      </c>
      <c r="V445" s="108">
        <v>0</v>
      </c>
      <c r="W445" s="22" t="s">
        <v>40</v>
      </c>
      <c r="X445" s="88" t="str">
        <f t="shared" si="36"/>
        <v>2EIWAD-O1.65</v>
      </c>
      <c r="Y445" s="22" t="s">
        <v>32</v>
      </c>
      <c r="Z445" s="78"/>
    </row>
    <row r="446" spans="1:26" s="70" customFormat="1" ht="24.95" customHeight="1">
      <c r="A446" s="80"/>
      <c r="B446" s="99">
        <v>45474</v>
      </c>
      <c r="C446" s="138" t="s">
        <v>35</v>
      </c>
      <c r="D446" s="59" t="s">
        <v>20</v>
      </c>
      <c r="E446" s="14" t="str">
        <f t="shared" si="37"/>
        <v>12A</v>
      </c>
      <c r="F446" s="111" t="s">
        <v>165</v>
      </c>
      <c r="G446" s="15" t="s">
        <v>27</v>
      </c>
      <c r="H446" s="111">
        <v>1.81</v>
      </c>
      <c r="I446" s="22" t="s">
        <v>321</v>
      </c>
      <c r="J446" s="21" t="s">
        <v>166</v>
      </c>
      <c r="K446" s="21" t="s">
        <v>166</v>
      </c>
      <c r="L446" s="125" t="s">
        <v>1322</v>
      </c>
      <c r="M446" s="96"/>
      <c r="N446" s="45" t="s">
        <v>1323</v>
      </c>
      <c r="O446" s="23" t="s">
        <v>29</v>
      </c>
      <c r="P446" s="45" t="s">
        <v>38</v>
      </c>
      <c r="Q446" s="88">
        <v>5</v>
      </c>
      <c r="R446" s="66">
        <v>45492</v>
      </c>
      <c r="S446" s="54">
        <v>45495</v>
      </c>
      <c r="T446" s="45" t="s">
        <v>19</v>
      </c>
      <c r="U446" s="100">
        <v>5</v>
      </c>
      <c r="V446" s="108">
        <v>0</v>
      </c>
      <c r="W446" s="22" t="s">
        <v>40</v>
      </c>
      <c r="X446" s="88" t="str">
        <f t="shared" si="36"/>
        <v>2EIWAD-O1.81</v>
      </c>
      <c r="Y446" s="22" t="s">
        <v>32</v>
      </c>
      <c r="Z446" s="78"/>
    </row>
    <row r="447" spans="1:26" s="70" customFormat="1" ht="24.95" customHeight="1">
      <c r="A447" s="80"/>
      <c r="B447" s="99">
        <v>45474</v>
      </c>
      <c r="C447" s="138" t="s">
        <v>35</v>
      </c>
      <c r="D447" s="59" t="s">
        <v>20</v>
      </c>
      <c r="E447" s="14" t="str">
        <f t="shared" si="37"/>
        <v>V6A</v>
      </c>
      <c r="F447" s="111" t="s">
        <v>186</v>
      </c>
      <c r="G447" s="15" t="s">
        <v>27</v>
      </c>
      <c r="H447" s="111">
        <v>1.18</v>
      </c>
      <c r="I447" s="22" t="s">
        <v>187</v>
      </c>
      <c r="J447" s="21" t="s">
        <v>951</v>
      </c>
      <c r="K447" s="21" t="s">
        <v>951</v>
      </c>
      <c r="L447" s="125" t="s">
        <v>60</v>
      </c>
      <c r="M447" s="96"/>
      <c r="N447" s="45" t="s">
        <v>1326</v>
      </c>
      <c r="O447" s="23" t="s">
        <v>1327</v>
      </c>
      <c r="P447" s="45" t="s">
        <v>38</v>
      </c>
      <c r="Q447" s="88">
        <v>10</v>
      </c>
      <c r="R447" s="66">
        <v>45493</v>
      </c>
      <c r="S447" s="54">
        <v>45495</v>
      </c>
      <c r="T447" s="45" t="s">
        <v>19</v>
      </c>
      <c r="U447" s="100">
        <v>10</v>
      </c>
      <c r="V447" s="108">
        <v>0</v>
      </c>
      <c r="W447" s="22" t="s">
        <v>40</v>
      </c>
      <c r="X447" s="88" t="str">
        <f t="shared" si="36"/>
        <v>1HGZ-MA1.18</v>
      </c>
      <c r="Y447" s="22" t="s">
        <v>32</v>
      </c>
      <c r="Z447" s="78"/>
    </row>
    <row r="448" spans="1:26" s="70" customFormat="1" ht="24.95" customHeight="1">
      <c r="A448" s="80"/>
      <c r="B448" s="99">
        <v>45474</v>
      </c>
      <c r="C448" s="138" t="s">
        <v>35</v>
      </c>
      <c r="D448" s="59" t="s">
        <v>20</v>
      </c>
      <c r="E448" s="14" t="str">
        <f t="shared" si="37"/>
        <v>V6A</v>
      </c>
      <c r="F448" s="111" t="s">
        <v>186</v>
      </c>
      <c r="G448" s="15" t="s">
        <v>27</v>
      </c>
      <c r="H448" s="111">
        <v>1.18</v>
      </c>
      <c r="I448" s="22" t="s">
        <v>187</v>
      </c>
      <c r="J448" s="21" t="s">
        <v>951</v>
      </c>
      <c r="K448" s="21" t="s">
        <v>951</v>
      </c>
      <c r="L448" s="125" t="s">
        <v>60</v>
      </c>
      <c r="M448" s="96"/>
      <c r="N448" s="45" t="s">
        <v>1326</v>
      </c>
      <c r="O448" s="23" t="s">
        <v>195</v>
      </c>
      <c r="P448" s="45" t="s">
        <v>38</v>
      </c>
      <c r="Q448" s="88">
        <v>5</v>
      </c>
      <c r="R448" s="66">
        <v>45494</v>
      </c>
      <c r="S448" s="54">
        <v>45495</v>
      </c>
      <c r="T448" s="45" t="s">
        <v>19</v>
      </c>
      <c r="U448" s="100">
        <v>5</v>
      </c>
      <c r="V448" s="108">
        <v>0</v>
      </c>
      <c r="W448" s="22" t="s">
        <v>40</v>
      </c>
      <c r="X448" s="88" t="str">
        <f t="shared" si="36"/>
        <v>1HGZ-MA1.18</v>
      </c>
      <c r="Y448" s="22" t="s">
        <v>32</v>
      </c>
      <c r="Z448" s="78"/>
    </row>
    <row r="449" spans="1:26" s="70" customFormat="1" ht="24.95" customHeight="1">
      <c r="A449" s="80"/>
      <c r="B449" s="99">
        <v>45474</v>
      </c>
      <c r="C449" s="138" t="s">
        <v>35</v>
      </c>
      <c r="D449" s="59" t="s">
        <v>20</v>
      </c>
      <c r="E449" s="14" t="str">
        <f t="shared" si="37"/>
        <v>V6A</v>
      </c>
      <c r="F449" s="111" t="s">
        <v>186</v>
      </c>
      <c r="G449" s="15" t="s">
        <v>27</v>
      </c>
      <c r="H449" s="111">
        <v>1.18</v>
      </c>
      <c r="I449" s="22" t="s">
        <v>187</v>
      </c>
      <c r="J449" s="21" t="s">
        <v>951</v>
      </c>
      <c r="K449" s="21" t="s">
        <v>951</v>
      </c>
      <c r="L449" s="125" t="s">
        <v>60</v>
      </c>
      <c r="M449" s="96"/>
      <c r="N449" s="45" t="s">
        <v>1328</v>
      </c>
      <c r="O449" s="23" t="s">
        <v>30</v>
      </c>
      <c r="P449" s="45" t="s">
        <v>38</v>
      </c>
      <c r="Q449" s="88">
        <v>5</v>
      </c>
      <c r="R449" s="66">
        <v>45494</v>
      </c>
      <c r="S449" s="54">
        <v>45495</v>
      </c>
      <c r="T449" s="45" t="s">
        <v>19</v>
      </c>
      <c r="U449" s="100">
        <v>5</v>
      </c>
      <c r="V449" s="108">
        <v>0</v>
      </c>
      <c r="W449" s="22" t="s">
        <v>40</v>
      </c>
      <c r="X449" s="88" t="str">
        <f t="shared" si="36"/>
        <v>1HGZ-MA1.18</v>
      </c>
      <c r="Y449" s="22" t="s">
        <v>32</v>
      </c>
      <c r="Z449" s="78"/>
    </row>
    <row r="450" spans="1:26" s="70" customFormat="1" ht="24.95" customHeight="1">
      <c r="A450" s="80"/>
      <c r="B450" s="99">
        <v>45474</v>
      </c>
      <c r="C450" s="138" t="s">
        <v>35</v>
      </c>
      <c r="D450" s="59" t="s">
        <v>20</v>
      </c>
      <c r="E450" s="14" t="str">
        <f t="shared" si="37"/>
        <v>V6A</v>
      </c>
      <c r="F450" s="111" t="s">
        <v>186</v>
      </c>
      <c r="G450" s="15" t="s">
        <v>27</v>
      </c>
      <c r="H450" s="111">
        <v>1.18</v>
      </c>
      <c r="I450" s="22" t="s">
        <v>187</v>
      </c>
      <c r="J450" s="21" t="s">
        <v>951</v>
      </c>
      <c r="K450" s="21" t="s">
        <v>951</v>
      </c>
      <c r="L450" s="125" t="s">
        <v>1329</v>
      </c>
      <c r="M450" s="96"/>
      <c r="N450" s="45" t="s">
        <v>1330</v>
      </c>
      <c r="O450" s="23" t="s">
        <v>30</v>
      </c>
      <c r="P450" s="45" t="s">
        <v>38</v>
      </c>
      <c r="Q450" s="88">
        <v>5</v>
      </c>
      <c r="R450" s="66">
        <v>45489</v>
      </c>
      <c r="S450" s="54">
        <v>45495</v>
      </c>
      <c r="T450" s="45" t="s">
        <v>19</v>
      </c>
      <c r="U450" s="100">
        <v>5</v>
      </c>
      <c r="V450" s="108">
        <v>0</v>
      </c>
      <c r="W450" s="22" t="s">
        <v>40</v>
      </c>
      <c r="X450" s="88" t="str">
        <f t="shared" si="36"/>
        <v>1HGZ-MA1.18</v>
      </c>
      <c r="Y450" s="22" t="s">
        <v>32</v>
      </c>
      <c r="Z450" s="78"/>
    </row>
    <row r="451" spans="1:26" s="70" customFormat="1" ht="24.95" customHeight="1">
      <c r="A451" s="80"/>
      <c r="B451" s="99">
        <v>45474</v>
      </c>
      <c r="C451" s="138" t="s">
        <v>35</v>
      </c>
      <c r="D451" s="59" t="s">
        <v>20</v>
      </c>
      <c r="E451" s="14" t="str">
        <f t="shared" si="37"/>
        <v>V9A</v>
      </c>
      <c r="F451" s="111" t="s">
        <v>23</v>
      </c>
      <c r="G451" s="15" t="s">
        <v>27</v>
      </c>
      <c r="H451" s="111">
        <v>0.95</v>
      </c>
      <c r="I451" s="22" t="s">
        <v>25</v>
      </c>
      <c r="J451" s="21" t="s">
        <v>415</v>
      </c>
      <c r="K451" s="21" t="s">
        <v>1332</v>
      </c>
      <c r="L451" s="125" t="s">
        <v>1331</v>
      </c>
      <c r="M451" s="96"/>
      <c r="N451" s="45" t="s">
        <v>1333</v>
      </c>
      <c r="O451" s="23" t="s">
        <v>29</v>
      </c>
      <c r="P451" s="45" t="s">
        <v>349</v>
      </c>
      <c r="Q451" s="88">
        <v>7</v>
      </c>
      <c r="R451" s="66">
        <v>45481</v>
      </c>
      <c r="S451" s="54">
        <v>45495</v>
      </c>
      <c r="T451" s="45" t="s">
        <v>19</v>
      </c>
      <c r="U451" s="100">
        <v>7</v>
      </c>
      <c r="V451" s="108">
        <v>0</v>
      </c>
      <c r="W451" s="22" t="s">
        <v>40</v>
      </c>
      <c r="X451" s="88" t="str">
        <f t="shared" si="36"/>
        <v>0FBWSHC0.95</v>
      </c>
      <c r="Y451" s="22" t="s">
        <v>32</v>
      </c>
      <c r="Z451" s="78"/>
    </row>
    <row r="452" spans="1:26" s="70" customFormat="1" ht="24.95" customHeight="1">
      <c r="A452" s="80"/>
      <c r="B452" s="99">
        <v>45474</v>
      </c>
      <c r="C452" s="138" t="s">
        <v>35</v>
      </c>
      <c r="D452" s="59" t="s">
        <v>20</v>
      </c>
      <c r="E452" s="14" t="str">
        <f t="shared" si="37"/>
        <v>V6A</v>
      </c>
      <c r="F452" s="111" t="s">
        <v>186</v>
      </c>
      <c r="G452" s="15" t="s">
        <v>27</v>
      </c>
      <c r="H452" s="111">
        <v>1.18</v>
      </c>
      <c r="I452" s="22" t="s">
        <v>187</v>
      </c>
      <c r="J452" s="21" t="s">
        <v>951</v>
      </c>
      <c r="K452" s="21" t="s">
        <v>951</v>
      </c>
      <c r="L452" s="125" t="s">
        <v>809</v>
      </c>
      <c r="M452" s="96"/>
      <c r="N452" s="45" t="s">
        <v>1334</v>
      </c>
      <c r="O452" s="23" t="s">
        <v>1327</v>
      </c>
      <c r="P452" s="45" t="s">
        <v>38</v>
      </c>
      <c r="Q452" s="88">
        <v>10</v>
      </c>
      <c r="R452" s="66">
        <v>45495</v>
      </c>
      <c r="S452" s="54">
        <v>45496</v>
      </c>
      <c r="T452" s="45" t="s">
        <v>19</v>
      </c>
      <c r="U452" s="100">
        <v>10</v>
      </c>
      <c r="V452" s="108">
        <v>0</v>
      </c>
      <c r="W452" s="22" t="s">
        <v>40</v>
      </c>
      <c r="X452" s="88" t="str">
        <f t="shared" si="36"/>
        <v>1HGZ-MA1.18</v>
      </c>
      <c r="Y452" s="22" t="s">
        <v>32</v>
      </c>
      <c r="Z452" s="78"/>
    </row>
    <row r="453" spans="1:26" s="70" customFormat="1" ht="24.95" customHeight="1">
      <c r="A453" s="80"/>
      <c r="B453" s="99">
        <v>45474</v>
      </c>
      <c r="C453" s="138" t="s">
        <v>35</v>
      </c>
      <c r="D453" s="59" t="s">
        <v>20</v>
      </c>
      <c r="E453" s="14" t="str">
        <f t="shared" si="37"/>
        <v>V6A</v>
      </c>
      <c r="F453" s="111" t="s">
        <v>186</v>
      </c>
      <c r="G453" s="15" t="s">
        <v>27</v>
      </c>
      <c r="H453" s="111">
        <v>1.18</v>
      </c>
      <c r="I453" s="22" t="s">
        <v>187</v>
      </c>
      <c r="J453" s="21" t="s">
        <v>951</v>
      </c>
      <c r="K453" s="21" t="s">
        <v>1335</v>
      </c>
      <c r="L453" s="125" t="s">
        <v>1329</v>
      </c>
      <c r="M453" s="96"/>
      <c r="N453" s="45" t="s">
        <v>1336</v>
      </c>
      <c r="O453" s="23" t="s">
        <v>198</v>
      </c>
      <c r="P453" s="45" t="s">
        <v>38</v>
      </c>
      <c r="Q453" s="88">
        <v>10</v>
      </c>
      <c r="R453" s="66">
        <v>45479</v>
      </c>
      <c r="S453" s="54">
        <v>45495</v>
      </c>
      <c r="T453" s="45" t="s">
        <v>19</v>
      </c>
      <c r="U453" s="100">
        <v>10</v>
      </c>
      <c r="V453" s="108">
        <v>0</v>
      </c>
      <c r="W453" s="22" t="s">
        <v>40</v>
      </c>
      <c r="X453" s="88" t="str">
        <f t="shared" si="36"/>
        <v>1HGZ-MA1.18</v>
      </c>
      <c r="Y453" s="22" t="s">
        <v>32</v>
      </c>
      <c r="Z453" s="78"/>
    </row>
    <row r="454" spans="1:26" s="70" customFormat="1" ht="24.95" customHeight="1">
      <c r="A454" s="80"/>
      <c r="B454" s="99">
        <v>45474</v>
      </c>
      <c r="C454" s="138" t="s">
        <v>35</v>
      </c>
      <c r="D454" s="59" t="s">
        <v>20</v>
      </c>
      <c r="E454" s="14" t="str">
        <f t="shared" si="37"/>
        <v>V6B</v>
      </c>
      <c r="F454" s="111" t="s">
        <v>633</v>
      </c>
      <c r="G454" s="3" t="s">
        <v>26</v>
      </c>
      <c r="H454" s="111">
        <v>1.45</v>
      </c>
      <c r="I454" s="22" t="s">
        <v>206</v>
      </c>
      <c r="J454" s="21" t="s">
        <v>44</v>
      </c>
      <c r="K454" s="21"/>
      <c r="L454" s="125" t="s">
        <v>46</v>
      </c>
      <c r="M454" s="96"/>
      <c r="N454" s="45" t="s">
        <v>1338</v>
      </c>
      <c r="O454" s="23" t="s">
        <v>30</v>
      </c>
      <c r="P454" s="45">
        <v>1</v>
      </c>
      <c r="Q454" s="88">
        <v>1</v>
      </c>
      <c r="R454" s="66">
        <v>45483</v>
      </c>
      <c r="S454" s="54">
        <v>45497</v>
      </c>
      <c r="T454" s="45" t="s">
        <v>19</v>
      </c>
      <c r="U454" s="100">
        <v>1</v>
      </c>
      <c r="V454" s="108">
        <v>0</v>
      </c>
      <c r="W454" s="22" t="s">
        <v>40</v>
      </c>
      <c r="X454" s="88" t="str">
        <f t="shared" si="36"/>
        <v>2EIWAD-P1.45</v>
      </c>
      <c r="Y454" s="22" t="s">
        <v>32</v>
      </c>
      <c r="Z454" s="78"/>
    </row>
    <row r="455" spans="1:26" s="70" customFormat="1" ht="24.95" customHeight="1">
      <c r="A455" s="80"/>
      <c r="B455" s="99">
        <v>45474</v>
      </c>
      <c r="C455" s="138" t="s">
        <v>35</v>
      </c>
      <c r="D455" s="59" t="s">
        <v>20</v>
      </c>
      <c r="E455" s="14" t="str">
        <f t="shared" si="37"/>
        <v>VOA</v>
      </c>
      <c r="F455" s="111" t="s">
        <v>259</v>
      </c>
      <c r="G455" s="15" t="s">
        <v>27</v>
      </c>
      <c r="H455" s="111">
        <v>0.6</v>
      </c>
      <c r="I455" s="22" t="s">
        <v>31</v>
      </c>
      <c r="J455" s="21" t="s">
        <v>1339</v>
      </c>
      <c r="K455" s="21" t="s">
        <v>1340</v>
      </c>
      <c r="L455" s="125" t="s">
        <v>342</v>
      </c>
      <c r="M455" s="96"/>
      <c r="N455" s="45" t="s">
        <v>1341</v>
      </c>
      <c r="O455" s="23" t="s">
        <v>29</v>
      </c>
      <c r="P455" s="45" t="s">
        <v>38</v>
      </c>
      <c r="Q455" s="88">
        <v>5</v>
      </c>
      <c r="R455" s="54">
        <v>45490</v>
      </c>
      <c r="S455" s="54">
        <v>45499</v>
      </c>
      <c r="T455" s="45" t="s">
        <v>19</v>
      </c>
      <c r="U455" s="100">
        <v>5</v>
      </c>
      <c r="V455" s="108">
        <v>0</v>
      </c>
      <c r="W455" s="22" t="s">
        <v>40</v>
      </c>
      <c r="X455" s="88" t="str">
        <f t="shared" si="36"/>
        <v>D1-PEW-B-2T0.6</v>
      </c>
      <c r="Y455" s="22" t="s">
        <v>32</v>
      </c>
      <c r="Z455" s="78"/>
    </row>
    <row r="456" spans="1:26" s="70" customFormat="1" ht="24.95" customHeight="1">
      <c r="A456" s="80"/>
      <c r="B456" s="99">
        <v>45474</v>
      </c>
      <c r="C456" s="138" t="s">
        <v>35</v>
      </c>
      <c r="D456" s="59" t="s">
        <v>20</v>
      </c>
      <c r="E456" s="14" t="str">
        <f t="shared" si="37"/>
        <v>V9A</v>
      </c>
      <c r="F456" s="111" t="s">
        <v>267</v>
      </c>
      <c r="G456" s="15" t="s">
        <v>27</v>
      </c>
      <c r="H456" s="111">
        <v>1.25</v>
      </c>
      <c r="I456" s="22" t="s">
        <v>268</v>
      </c>
      <c r="J456" s="21" t="s">
        <v>1342</v>
      </c>
      <c r="K456" s="21" t="s">
        <v>1343</v>
      </c>
      <c r="L456" s="125" t="s">
        <v>1344</v>
      </c>
      <c r="M456" s="96"/>
      <c r="N456" s="45" t="s">
        <v>1345</v>
      </c>
      <c r="O456" s="23" t="s">
        <v>30</v>
      </c>
      <c r="P456" s="45">
        <v>2.4</v>
      </c>
      <c r="Q456" s="88">
        <v>2</v>
      </c>
      <c r="R456" s="66">
        <v>45492</v>
      </c>
      <c r="S456" s="54">
        <v>45499</v>
      </c>
      <c r="T456" s="45" t="s">
        <v>19</v>
      </c>
      <c r="U456" s="100">
        <v>2</v>
      </c>
      <c r="V456" s="108">
        <v>0</v>
      </c>
      <c r="W456" s="22" t="s">
        <v>40</v>
      </c>
      <c r="X456" s="88" t="str">
        <f t="shared" si="36"/>
        <v>1-ATZ-3001.25</v>
      </c>
      <c r="Y456" s="22" t="s">
        <v>32</v>
      </c>
      <c r="Z456" s="78"/>
    </row>
    <row r="457" spans="1:26" s="70" customFormat="1" ht="24.95" customHeight="1">
      <c r="A457" s="80"/>
      <c r="B457" s="99">
        <v>45474</v>
      </c>
      <c r="C457" s="138" t="s">
        <v>35</v>
      </c>
      <c r="D457" s="59" t="s">
        <v>20</v>
      </c>
      <c r="E457" s="14" t="str">
        <f t="shared" si="37"/>
        <v>V6A</v>
      </c>
      <c r="F457" s="111" t="s">
        <v>186</v>
      </c>
      <c r="G457" s="15" t="s">
        <v>27</v>
      </c>
      <c r="H457" s="111">
        <v>1.18</v>
      </c>
      <c r="I457" s="22" t="s">
        <v>187</v>
      </c>
      <c r="J457" s="21" t="s">
        <v>951</v>
      </c>
      <c r="K457" s="21" t="s">
        <v>951</v>
      </c>
      <c r="L457" s="125" t="s">
        <v>809</v>
      </c>
      <c r="M457" s="96"/>
      <c r="N457" s="45" t="s">
        <v>1346</v>
      </c>
      <c r="O457" s="23" t="s">
        <v>263</v>
      </c>
      <c r="P457" s="45" t="s">
        <v>38</v>
      </c>
      <c r="Q457" s="88">
        <v>5</v>
      </c>
      <c r="R457" s="66">
        <v>45497</v>
      </c>
      <c r="S457" s="54">
        <v>45499</v>
      </c>
      <c r="T457" s="45" t="s">
        <v>19</v>
      </c>
      <c r="U457" s="100">
        <v>5</v>
      </c>
      <c r="V457" s="108">
        <v>0</v>
      </c>
      <c r="W457" s="22" t="s">
        <v>40</v>
      </c>
      <c r="X457" s="88" t="str">
        <f t="shared" si="36"/>
        <v>1HGZ-MA1.18</v>
      </c>
      <c r="Y457" s="22" t="s">
        <v>32</v>
      </c>
      <c r="Z457" s="78"/>
    </row>
    <row r="458" spans="1:26" s="70" customFormat="1" ht="24.95" customHeight="1">
      <c r="A458" s="80"/>
      <c r="B458" s="99">
        <v>45474</v>
      </c>
      <c r="C458" s="138" t="s">
        <v>35</v>
      </c>
      <c r="D458" s="59" t="s">
        <v>20</v>
      </c>
      <c r="E458" s="14" t="str">
        <f t="shared" si="37"/>
        <v>VOA</v>
      </c>
      <c r="F458" s="111" t="s">
        <v>259</v>
      </c>
      <c r="G458" s="15" t="s">
        <v>27</v>
      </c>
      <c r="H458" s="111">
        <v>0.6</v>
      </c>
      <c r="I458" s="22" t="s">
        <v>31</v>
      </c>
      <c r="J458" s="21" t="s">
        <v>1347</v>
      </c>
      <c r="K458" s="21" t="s">
        <v>1347</v>
      </c>
      <c r="L458" s="125" t="s">
        <v>416</v>
      </c>
      <c r="M458" s="96"/>
      <c r="N458" s="45" t="s">
        <v>1348</v>
      </c>
      <c r="O458" s="23" t="s">
        <v>29</v>
      </c>
      <c r="P458" s="45" t="s">
        <v>1349</v>
      </c>
      <c r="Q458" s="88">
        <v>2</v>
      </c>
      <c r="R458" s="66">
        <v>45494</v>
      </c>
      <c r="S458" s="54">
        <v>45502</v>
      </c>
      <c r="T458" s="45" t="s">
        <v>19</v>
      </c>
      <c r="U458" s="100">
        <v>2</v>
      </c>
      <c r="V458" s="108">
        <v>0</v>
      </c>
      <c r="W458" s="22" t="s">
        <v>40</v>
      </c>
      <c r="X458" s="88" t="str">
        <f t="shared" si="36"/>
        <v>D1-PEW-B-2T0.6</v>
      </c>
      <c r="Y458" s="22" t="s">
        <v>32</v>
      </c>
      <c r="Z458" s="78"/>
    </row>
    <row r="459" spans="1:26" s="70" customFormat="1" ht="24.95" customHeight="1">
      <c r="A459" s="80"/>
      <c r="B459" s="99">
        <v>45474</v>
      </c>
      <c r="C459" s="138" t="s">
        <v>35</v>
      </c>
      <c r="D459" s="59" t="s">
        <v>20</v>
      </c>
      <c r="E459" s="14" t="str">
        <f t="shared" si="37"/>
        <v>V6A</v>
      </c>
      <c r="F459" s="111" t="s">
        <v>186</v>
      </c>
      <c r="G459" s="15" t="s">
        <v>27</v>
      </c>
      <c r="H459" s="111">
        <v>1.18</v>
      </c>
      <c r="I459" s="22" t="s">
        <v>187</v>
      </c>
      <c r="J459" s="21" t="s">
        <v>896</v>
      </c>
      <c r="K459" s="21" t="s">
        <v>896</v>
      </c>
      <c r="L459" s="125" t="s">
        <v>60</v>
      </c>
      <c r="M459" s="96"/>
      <c r="N459" s="45" t="s">
        <v>1350</v>
      </c>
      <c r="O459" s="23" t="s">
        <v>1351</v>
      </c>
      <c r="P459" s="45" t="s">
        <v>1079</v>
      </c>
      <c r="Q459" s="88">
        <v>11</v>
      </c>
      <c r="R459" s="66">
        <v>45496</v>
      </c>
      <c r="S459" s="54">
        <v>45502</v>
      </c>
      <c r="T459" s="45" t="s">
        <v>19</v>
      </c>
      <c r="U459" s="100">
        <v>11</v>
      </c>
      <c r="V459" s="108">
        <v>0</v>
      </c>
      <c r="W459" s="22" t="s">
        <v>40</v>
      </c>
      <c r="X459" s="88" t="str">
        <f t="shared" si="36"/>
        <v>1HGZ-MA1.18</v>
      </c>
      <c r="Y459" s="22" t="s">
        <v>32</v>
      </c>
      <c r="Z459" s="78"/>
    </row>
    <row r="460" spans="1:26" s="70" customFormat="1" ht="24.95" customHeight="1">
      <c r="A460" s="80"/>
      <c r="B460" s="99">
        <v>45474</v>
      </c>
      <c r="C460" s="138" t="s">
        <v>35</v>
      </c>
      <c r="D460" s="59" t="s">
        <v>20</v>
      </c>
      <c r="E460" s="14" t="str">
        <f t="shared" si="37"/>
        <v>V6A</v>
      </c>
      <c r="F460" s="111" t="s">
        <v>186</v>
      </c>
      <c r="G460" s="15" t="s">
        <v>27</v>
      </c>
      <c r="H460" s="111">
        <v>1.18</v>
      </c>
      <c r="I460" s="22" t="s">
        <v>187</v>
      </c>
      <c r="J460" s="21" t="s">
        <v>896</v>
      </c>
      <c r="K460" s="21" t="s">
        <v>896</v>
      </c>
      <c r="L460" s="125" t="s">
        <v>60</v>
      </c>
      <c r="M460" s="96"/>
      <c r="N460" s="45" t="s">
        <v>1352</v>
      </c>
      <c r="O460" s="23" t="s">
        <v>1353</v>
      </c>
      <c r="P460" s="45" t="s">
        <v>365</v>
      </c>
      <c r="Q460" s="88">
        <v>10</v>
      </c>
      <c r="R460" s="66">
        <v>45498</v>
      </c>
      <c r="S460" s="54">
        <v>45502</v>
      </c>
      <c r="T460" s="45" t="s">
        <v>19</v>
      </c>
      <c r="U460" s="100">
        <v>10</v>
      </c>
      <c r="V460" s="108">
        <v>0</v>
      </c>
      <c r="W460" s="22" t="s">
        <v>40</v>
      </c>
      <c r="X460" s="88" t="str">
        <f t="shared" si="36"/>
        <v>1HGZ-MA1.18</v>
      </c>
      <c r="Y460" s="22" t="s">
        <v>32</v>
      </c>
      <c r="Z460" s="78"/>
    </row>
    <row r="461" spans="1:26" s="70" customFormat="1" ht="24.95" customHeight="1">
      <c r="A461" s="80"/>
      <c r="B461" s="99">
        <v>45474</v>
      </c>
      <c r="C461" s="138" t="s">
        <v>35</v>
      </c>
      <c r="D461" s="59" t="s">
        <v>20</v>
      </c>
      <c r="E461" s="14" t="str">
        <f t="shared" si="37"/>
        <v>12B</v>
      </c>
      <c r="F461" s="111" t="s">
        <v>719</v>
      </c>
      <c r="G461" s="15" t="s">
        <v>27</v>
      </c>
      <c r="H461" s="111">
        <v>1.1499999999999999</v>
      </c>
      <c r="I461" s="22" t="s">
        <v>252</v>
      </c>
      <c r="J461" s="21" t="s">
        <v>1354</v>
      </c>
      <c r="K461" s="21" t="s">
        <v>1355</v>
      </c>
      <c r="L461" s="125" t="s">
        <v>1356</v>
      </c>
      <c r="M461" s="96"/>
      <c r="N461" s="45" t="s">
        <v>1357</v>
      </c>
      <c r="O461" s="23" t="s">
        <v>1358</v>
      </c>
      <c r="P461" s="45" t="s">
        <v>38</v>
      </c>
      <c r="Q461" s="88">
        <v>15</v>
      </c>
      <c r="R461" s="66">
        <v>45498</v>
      </c>
      <c r="S461" s="54">
        <v>45502</v>
      </c>
      <c r="T461" s="45" t="s">
        <v>19</v>
      </c>
      <c r="U461" s="100">
        <v>15</v>
      </c>
      <c r="V461" s="108">
        <v>0</v>
      </c>
      <c r="W461" s="22" t="s">
        <v>40</v>
      </c>
      <c r="X461" s="88" t="str">
        <f t="shared" si="36"/>
        <v>D1-IDW-41.15</v>
      </c>
      <c r="Y461" s="22" t="s">
        <v>32</v>
      </c>
      <c r="Z461" s="78"/>
    </row>
    <row r="462" spans="1:26" s="70" customFormat="1" ht="24.95" customHeight="1">
      <c r="A462" s="80"/>
      <c r="B462" s="99">
        <v>45474</v>
      </c>
      <c r="C462" s="138" t="s">
        <v>35</v>
      </c>
      <c r="D462" s="59" t="s">
        <v>20</v>
      </c>
      <c r="E462" s="14" t="str">
        <f t="shared" si="37"/>
        <v>V8A</v>
      </c>
      <c r="F462" s="111" t="s">
        <v>343</v>
      </c>
      <c r="G462" s="15" t="s">
        <v>27</v>
      </c>
      <c r="H462" s="111">
        <v>1.35</v>
      </c>
      <c r="I462" s="22" t="s">
        <v>25</v>
      </c>
      <c r="J462" s="21" t="s">
        <v>1359</v>
      </c>
      <c r="K462" s="21" t="s">
        <v>1359</v>
      </c>
      <c r="L462" s="125" t="s">
        <v>342</v>
      </c>
      <c r="M462" s="96"/>
      <c r="N462" s="45" t="s">
        <v>1360</v>
      </c>
      <c r="O462" s="23" t="s">
        <v>29</v>
      </c>
      <c r="P462" s="45">
        <v>1</v>
      </c>
      <c r="Q462" s="88">
        <v>1</v>
      </c>
      <c r="R462" s="66">
        <v>45497</v>
      </c>
      <c r="S462" s="54">
        <v>45502</v>
      </c>
      <c r="T462" s="45" t="s">
        <v>19</v>
      </c>
      <c r="U462" s="100">
        <v>1</v>
      </c>
      <c r="V462" s="108">
        <v>0</v>
      </c>
      <c r="W462" s="22" t="s">
        <v>40</v>
      </c>
      <c r="X462" s="88" t="str">
        <f t="shared" si="36"/>
        <v>1AIWP1.35</v>
      </c>
      <c r="Y462" s="22" t="s">
        <v>32</v>
      </c>
      <c r="Z462" s="78"/>
    </row>
    <row r="463" spans="1:26" s="70" customFormat="1" ht="24.95" customHeight="1">
      <c r="A463" s="80"/>
      <c r="B463" s="99">
        <v>45474</v>
      </c>
      <c r="C463" s="138" t="s">
        <v>35</v>
      </c>
      <c r="D463" s="59" t="s">
        <v>20</v>
      </c>
      <c r="E463" s="14" t="str">
        <f t="shared" si="37"/>
        <v>12A</v>
      </c>
      <c r="F463" s="111" t="s">
        <v>165</v>
      </c>
      <c r="G463" s="3" t="s">
        <v>26</v>
      </c>
      <c r="H463" s="111">
        <v>1.65</v>
      </c>
      <c r="I463" s="22" t="s">
        <v>321</v>
      </c>
      <c r="J463" s="21" t="s">
        <v>1361</v>
      </c>
      <c r="K463" s="21"/>
      <c r="L463" s="125" t="s">
        <v>1362</v>
      </c>
      <c r="M463" s="96"/>
      <c r="N463" s="45" t="s">
        <v>1363</v>
      </c>
      <c r="O463" s="23" t="s">
        <v>176</v>
      </c>
      <c r="P463" s="23" t="s">
        <v>1364</v>
      </c>
      <c r="Q463" s="88">
        <v>2</v>
      </c>
      <c r="R463" s="66">
        <v>45501</v>
      </c>
      <c r="S463" s="54">
        <v>45502</v>
      </c>
      <c r="T463" s="45" t="s">
        <v>19</v>
      </c>
      <c r="U463" s="100">
        <v>2</v>
      </c>
      <c r="V463" s="108">
        <v>0</v>
      </c>
      <c r="W463" s="22" t="s">
        <v>40</v>
      </c>
      <c r="X463" s="88" t="str">
        <f t="shared" si="36"/>
        <v>2EIWAD-O1.65</v>
      </c>
      <c r="Y463" s="22" t="s">
        <v>32</v>
      </c>
      <c r="Z463" s="78"/>
    </row>
    <row r="464" spans="1:26" s="70" customFormat="1" ht="24.95" customHeight="1">
      <c r="A464" s="80"/>
      <c r="B464" s="99">
        <v>45474</v>
      </c>
      <c r="C464" s="138" t="s">
        <v>35</v>
      </c>
      <c r="D464" s="59" t="s">
        <v>20</v>
      </c>
      <c r="E464" s="14" t="str">
        <f t="shared" si="37"/>
        <v>12A</v>
      </c>
      <c r="F464" s="111" t="s">
        <v>165</v>
      </c>
      <c r="G464" s="3" t="s">
        <v>26</v>
      </c>
      <c r="H464" s="111">
        <v>1.65</v>
      </c>
      <c r="I464" s="22" t="s">
        <v>321</v>
      </c>
      <c r="J464" s="21" t="s">
        <v>353</v>
      </c>
      <c r="K464" s="21"/>
      <c r="L464" s="125" t="s">
        <v>60</v>
      </c>
      <c r="M464" s="96"/>
      <c r="N464" s="45" t="s">
        <v>1365</v>
      </c>
      <c r="O464" s="23" t="s">
        <v>30</v>
      </c>
      <c r="P464" s="45">
        <v>4</v>
      </c>
      <c r="Q464" s="88">
        <v>1</v>
      </c>
      <c r="R464" s="66">
        <v>45497</v>
      </c>
      <c r="S464" s="54">
        <v>45499</v>
      </c>
      <c r="T464" s="45" t="s">
        <v>19</v>
      </c>
      <c r="U464" s="100">
        <v>1</v>
      </c>
      <c r="V464" s="108">
        <v>0</v>
      </c>
      <c r="W464" s="22" t="s">
        <v>40</v>
      </c>
      <c r="X464" s="88" t="str">
        <f t="shared" si="36"/>
        <v>2EIWAD-O1.65</v>
      </c>
      <c r="Y464" s="22" t="s">
        <v>32</v>
      </c>
      <c r="Z464" s="78"/>
    </row>
    <row r="465" spans="1:26" s="70" customFormat="1" ht="24.95" customHeight="1">
      <c r="A465" s="80"/>
      <c r="B465" s="99">
        <v>45474</v>
      </c>
      <c r="C465" s="138" t="s">
        <v>35</v>
      </c>
      <c r="D465" s="59" t="s">
        <v>20</v>
      </c>
      <c r="E465" s="14" t="str">
        <f t="shared" si="37"/>
        <v>V8A</v>
      </c>
      <c r="F465" s="111" t="s">
        <v>529</v>
      </c>
      <c r="G465" s="3" t="s">
        <v>26</v>
      </c>
      <c r="H465" s="111">
        <v>2.2000000000000002</v>
      </c>
      <c r="I465" s="22" t="s">
        <v>530</v>
      </c>
      <c r="J465" s="21" t="s">
        <v>1290</v>
      </c>
      <c r="K465" s="21" t="s">
        <v>1366</v>
      </c>
      <c r="L465" s="125" t="s">
        <v>208</v>
      </c>
      <c r="M465" s="96"/>
      <c r="N465" s="45" t="s">
        <v>1367</v>
      </c>
      <c r="O465" s="23" t="s">
        <v>1368</v>
      </c>
      <c r="P465" s="45">
        <v>1</v>
      </c>
      <c r="Q465" s="88">
        <v>10</v>
      </c>
      <c r="R465" s="66">
        <v>45499</v>
      </c>
      <c r="S465" s="54">
        <v>45502</v>
      </c>
      <c r="T465" s="45" t="s">
        <v>19</v>
      </c>
      <c r="U465" s="100">
        <v>10</v>
      </c>
      <c r="V465" s="108">
        <v>0</v>
      </c>
      <c r="W465" s="22" t="s">
        <v>40</v>
      </c>
      <c r="X465" s="88" t="str">
        <f t="shared" si="36"/>
        <v>1PEW2.2</v>
      </c>
      <c r="Y465" s="22" t="s">
        <v>32</v>
      </c>
      <c r="Z465" s="78"/>
    </row>
    <row r="466" spans="1:26" s="70" customFormat="1" ht="24.95" customHeight="1">
      <c r="A466" s="80"/>
      <c r="B466" s="99">
        <v>45474</v>
      </c>
      <c r="C466" s="138" t="s">
        <v>35</v>
      </c>
      <c r="D466" s="59" t="s">
        <v>20</v>
      </c>
      <c r="E466" s="14" t="str">
        <f t="shared" si="37"/>
        <v>V8D</v>
      </c>
      <c r="F466" s="111" t="s">
        <v>24</v>
      </c>
      <c r="G466" s="3" t="s">
        <v>26</v>
      </c>
      <c r="H466" s="111">
        <v>0.77</v>
      </c>
      <c r="I466" s="22" t="s">
        <v>28</v>
      </c>
      <c r="J466" s="21" t="s">
        <v>162</v>
      </c>
      <c r="K466" s="21" t="s">
        <v>162</v>
      </c>
      <c r="L466" s="125"/>
      <c r="M466" s="96"/>
      <c r="N466" s="45" t="s">
        <v>1369</v>
      </c>
      <c r="O466" s="23" t="s">
        <v>30</v>
      </c>
      <c r="P466" s="45">
        <v>4</v>
      </c>
      <c r="Q466" s="88">
        <v>1</v>
      </c>
      <c r="R466" s="66">
        <v>45499</v>
      </c>
      <c r="S466" s="54">
        <v>45502</v>
      </c>
      <c r="T466" s="45" t="s">
        <v>19</v>
      </c>
      <c r="U466" s="100">
        <v>1</v>
      </c>
      <c r="V466" s="108">
        <v>0</v>
      </c>
      <c r="W466" s="22" t="s">
        <v>40</v>
      </c>
      <c r="X466" s="88" t="str">
        <f t="shared" si="36"/>
        <v>2PEW0.77</v>
      </c>
      <c r="Y466" s="22" t="s">
        <v>32</v>
      </c>
      <c r="Z466" s="78"/>
    </row>
    <row r="467" spans="1:26" s="70" customFormat="1" ht="24.95" customHeight="1">
      <c r="A467" s="80"/>
      <c r="B467" s="99">
        <v>45474</v>
      </c>
      <c r="C467" s="138" t="s">
        <v>35</v>
      </c>
      <c r="D467" s="59" t="s">
        <v>20</v>
      </c>
      <c r="E467" s="14" t="str">
        <f t="shared" si="37"/>
        <v>12A</v>
      </c>
      <c r="F467" s="111" t="s">
        <v>165</v>
      </c>
      <c r="G467" s="3" t="s">
        <v>26</v>
      </c>
      <c r="H467" s="111">
        <v>1.65</v>
      </c>
      <c r="I467" s="22" t="s">
        <v>321</v>
      </c>
      <c r="J467" s="21" t="s">
        <v>963</v>
      </c>
      <c r="K467" s="21"/>
      <c r="L467" s="125" t="s">
        <v>1370</v>
      </c>
      <c r="M467" s="96"/>
      <c r="N467" s="45" t="s">
        <v>1371</v>
      </c>
      <c r="O467" s="23" t="s">
        <v>30</v>
      </c>
      <c r="P467" s="45">
        <v>4</v>
      </c>
      <c r="Q467" s="145">
        <v>45501</v>
      </c>
      <c r="R467" s="66">
        <v>45502</v>
      </c>
      <c r="S467" s="54">
        <v>45502</v>
      </c>
      <c r="T467" s="45" t="s">
        <v>19</v>
      </c>
      <c r="U467" s="100">
        <v>1</v>
      </c>
      <c r="V467" s="108">
        <v>0</v>
      </c>
      <c r="W467" s="22" t="s">
        <v>40</v>
      </c>
      <c r="X467" s="88" t="str">
        <f t="shared" si="36"/>
        <v>2EIWAD-O1.65</v>
      </c>
      <c r="Y467" s="22" t="s">
        <v>32</v>
      </c>
      <c r="Z467" s="78"/>
    </row>
    <row r="468" spans="1:26" s="70" customFormat="1" ht="24.95" customHeight="1">
      <c r="A468" s="80"/>
      <c r="B468" s="99">
        <v>45474</v>
      </c>
      <c r="C468" s="138" t="s">
        <v>35</v>
      </c>
      <c r="D468" s="59" t="s">
        <v>20</v>
      </c>
      <c r="E468" s="14" t="str">
        <f t="shared" si="37"/>
        <v>V6A</v>
      </c>
      <c r="F468" s="111" t="s">
        <v>186</v>
      </c>
      <c r="G468" s="15" t="s">
        <v>27</v>
      </c>
      <c r="H468" s="111">
        <v>1.18</v>
      </c>
      <c r="I468" s="22" t="s">
        <v>187</v>
      </c>
      <c r="J468" s="21" t="s">
        <v>951</v>
      </c>
      <c r="K468" s="21" t="s">
        <v>951</v>
      </c>
      <c r="L468" s="125" t="s">
        <v>60</v>
      </c>
      <c r="M468" s="96"/>
      <c r="N468" s="45" t="s">
        <v>1372</v>
      </c>
      <c r="O468" s="23" t="s">
        <v>263</v>
      </c>
      <c r="P468" s="45" t="s">
        <v>38</v>
      </c>
      <c r="Q468" s="88">
        <v>5</v>
      </c>
      <c r="R468" s="66">
        <v>45500</v>
      </c>
      <c r="S468" s="54">
        <v>45502</v>
      </c>
      <c r="T468" s="45" t="s">
        <v>19</v>
      </c>
      <c r="U468" s="100">
        <v>5</v>
      </c>
      <c r="V468" s="108">
        <v>0</v>
      </c>
      <c r="W468" s="22" t="s">
        <v>40</v>
      </c>
      <c r="X468" s="88" t="str">
        <f t="shared" si="36"/>
        <v>1HGZ-MA1.18</v>
      </c>
      <c r="Y468" s="22" t="s">
        <v>32</v>
      </c>
      <c r="Z468" s="78"/>
    </row>
    <row r="469" spans="1:26" s="70" customFormat="1" ht="24.95" customHeight="1">
      <c r="A469" s="80"/>
      <c r="B469" s="99">
        <v>45474</v>
      </c>
      <c r="C469" s="138" t="s">
        <v>35</v>
      </c>
      <c r="D469" s="59" t="s">
        <v>20</v>
      </c>
      <c r="E469" s="14" t="str">
        <f t="shared" si="37"/>
        <v>VOA</v>
      </c>
      <c r="F469" s="111" t="s">
        <v>259</v>
      </c>
      <c r="G469" s="15" t="s">
        <v>27</v>
      </c>
      <c r="H469" s="111">
        <v>0.6</v>
      </c>
      <c r="I469" s="22" t="s">
        <v>31</v>
      </c>
      <c r="J469" s="21" t="s">
        <v>1373</v>
      </c>
      <c r="K469" s="21" t="s">
        <v>1374</v>
      </c>
      <c r="L469" s="125" t="s">
        <v>208</v>
      </c>
      <c r="M469" s="96"/>
      <c r="N469" s="45" t="s">
        <v>1375</v>
      </c>
      <c r="O469" s="23" t="s">
        <v>39</v>
      </c>
      <c r="P469" s="45">
        <v>5</v>
      </c>
      <c r="Q469" s="88">
        <v>1</v>
      </c>
      <c r="R469" s="66">
        <v>45498</v>
      </c>
      <c r="S469" s="54">
        <v>45502</v>
      </c>
      <c r="T469" s="45" t="s">
        <v>19</v>
      </c>
      <c r="U469" s="100">
        <v>1</v>
      </c>
      <c r="V469" s="108">
        <v>0</v>
      </c>
      <c r="W469" s="22" t="s">
        <v>40</v>
      </c>
      <c r="X469" s="88" t="str">
        <f t="shared" si="36"/>
        <v>D1-PEW-B-2T0.6</v>
      </c>
      <c r="Y469" s="22" t="s">
        <v>32</v>
      </c>
      <c r="Z469" s="78"/>
    </row>
    <row r="470" spans="1:26" s="70" customFormat="1" ht="24.95" customHeight="1">
      <c r="A470" s="80"/>
      <c r="B470" s="99">
        <v>45474</v>
      </c>
      <c r="C470" s="138" t="s">
        <v>35</v>
      </c>
      <c r="D470" s="59" t="s">
        <v>20</v>
      </c>
      <c r="E470" s="14" t="str">
        <f t="shared" si="37"/>
        <v>12A</v>
      </c>
      <c r="F470" s="111" t="s">
        <v>165</v>
      </c>
      <c r="G470" s="3" t="s">
        <v>26</v>
      </c>
      <c r="H470" s="111">
        <v>1.65</v>
      </c>
      <c r="I470" s="22" t="s">
        <v>321</v>
      </c>
      <c r="J470" s="21" t="s">
        <v>963</v>
      </c>
      <c r="K470" s="21" t="s">
        <v>1389</v>
      </c>
      <c r="L470" s="125" t="s">
        <v>1390</v>
      </c>
      <c r="M470" s="96"/>
      <c r="N470" s="45" t="s">
        <v>1371</v>
      </c>
      <c r="O470" s="23" t="s">
        <v>29</v>
      </c>
      <c r="P470" s="45">
        <v>4</v>
      </c>
      <c r="Q470" s="88">
        <v>1</v>
      </c>
      <c r="R470" s="66">
        <v>45501</v>
      </c>
      <c r="S470" s="54">
        <v>45502</v>
      </c>
      <c r="T470" s="45" t="s">
        <v>19</v>
      </c>
      <c r="U470" s="100">
        <v>1</v>
      </c>
      <c r="V470" s="108">
        <v>0</v>
      </c>
      <c r="W470" s="22" t="s">
        <v>40</v>
      </c>
      <c r="X470" s="88" t="str">
        <f t="shared" si="36"/>
        <v>2EIWAD-O1.65</v>
      </c>
      <c r="Y470" s="22" t="s">
        <v>32</v>
      </c>
      <c r="Z470" s="78"/>
    </row>
    <row r="471" spans="1:26" s="70" customFormat="1" ht="24.95" customHeight="1">
      <c r="A471" s="80"/>
      <c r="B471" s="99">
        <v>45474</v>
      </c>
      <c r="C471" s="138" t="s">
        <v>35</v>
      </c>
      <c r="D471" s="59" t="s">
        <v>20</v>
      </c>
      <c r="E471" s="14" t="str">
        <f t="shared" si="37"/>
        <v>V6A</v>
      </c>
      <c r="F471" s="111" t="s">
        <v>186</v>
      </c>
      <c r="G471" s="15" t="s">
        <v>27</v>
      </c>
      <c r="H471" s="111">
        <v>1.18</v>
      </c>
      <c r="I471" s="22" t="s">
        <v>187</v>
      </c>
      <c r="J471" s="21" t="s">
        <v>1391</v>
      </c>
      <c r="K471" s="21" t="s">
        <v>1391</v>
      </c>
      <c r="L471" s="125" t="s">
        <v>1198</v>
      </c>
      <c r="M471" s="96"/>
      <c r="N471" s="45" t="s">
        <v>1392</v>
      </c>
      <c r="O471" s="23" t="s">
        <v>263</v>
      </c>
      <c r="P471" s="45">
        <v>4</v>
      </c>
      <c r="Q471" s="88">
        <v>1</v>
      </c>
      <c r="R471" s="66">
        <v>45498</v>
      </c>
      <c r="S471" s="54">
        <v>45504</v>
      </c>
      <c r="T471" s="45" t="s">
        <v>19</v>
      </c>
      <c r="U471" s="100">
        <v>0</v>
      </c>
      <c r="V471" s="108">
        <v>1</v>
      </c>
      <c r="W471" s="22" t="s">
        <v>40</v>
      </c>
      <c r="X471" s="88" t="str">
        <f t="shared" si="36"/>
        <v>1HGZ-MA1.18</v>
      </c>
      <c r="Y471" s="22" t="s">
        <v>182</v>
      </c>
      <c r="Z471" s="148"/>
    </row>
    <row r="472" spans="1:26" s="70" customFormat="1" ht="24.95" customHeight="1">
      <c r="A472" s="80"/>
      <c r="B472" s="99">
        <v>45474</v>
      </c>
      <c r="C472" s="138" t="s">
        <v>35</v>
      </c>
      <c r="D472" s="59" t="s">
        <v>20</v>
      </c>
      <c r="E472" s="14" t="str">
        <f t="shared" si="37"/>
        <v>V6A</v>
      </c>
      <c r="F472" s="111" t="s">
        <v>186</v>
      </c>
      <c r="G472" s="15" t="s">
        <v>27</v>
      </c>
      <c r="H472" s="111">
        <v>1.18</v>
      </c>
      <c r="I472" s="22" t="s">
        <v>187</v>
      </c>
      <c r="J472" s="21" t="s">
        <v>1460</v>
      </c>
      <c r="K472" s="21" t="s">
        <v>1406</v>
      </c>
      <c r="L472" s="125" t="s">
        <v>60</v>
      </c>
      <c r="M472" s="96"/>
      <c r="N472" s="45" t="s">
        <v>1461</v>
      </c>
      <c r="O472" s="23" t="s">
        <v>195</v>
      </c>
      <c r="P472" s="45" t="s">
        <v>38</v>
      </c>
      <c r="Q472" s="88">
        <v>5</v>
      </c>
      <c r="R472" s="66">
        <v>45512</v>
      </c>
      <c r="S472" s="54">
        <v>45518</v>
      </c>
      <c r="T472" s="45" t="s">
        <v>19</v>
      </c>
      <c r="U472" s="100">
        <v>5</v>
      </c>
      <c r="V472" s="108">
        <v>0</v>
      </c>
      <c r="W472" s="22" t="s">
        <v>40</v>
      </c>
      <c r="X472" s="88" t="str">
        <f t="shared" si="36"/>
        <v>1HGZ-MA1.18</v>
      </c>
      <c r="Y472" s="22" t="s">
        <v>182</v>
      </c>
      <c r="Z472" s="78"/>
    </row>
    <row r="473" spans="1:26" s="70" customFormat="1" ht="24.95" customHeight="1">
      <c r="A473" s="80"/>
      <c r="B473" s="99">
        <v>45474</v>
      </c>
      <c r="C473" s="138" t="s">
        <v>35</v>
      </c>
      <c r="D473" s="59" t="s">
        <v>20</v>
      </c>
      <c r="E473" s="14" t="str">
        <f>IF(B458="","",LEFT(N473,3))</f>
        <v>12B</v>
      </c>
      <c r="F473" s="111" t="s">
        <v>633</v>
      </c>
      <c r="G473" s="15" t="s">
        <v>27</v>
      </c>
      <c r="H473" s="111">
        <v>1.25</v>
      </c>
      <c r="I473" s="22" t="s">
        <v>187</v>
      </c>
      <c r="J473" s="21" t="s">
        <v>1462</v>
      </c>
      <c r="K473" s="21" t="s">
        <v>1462</v>
      </c>
      <c r="L473" s="21" t="s">
        <v>1463</v>
      </c>
      <c r="M473" s="96"/>
      <c r="N473" s="45" t="s">
        <v>1464</v>
      </c>
      <c r="O473" s="23" t="s">
        <v>39</v>
      </c>
      <c r="P473" s="45">
        <v>2</v>
      </c>
      <c r="Q473" s="88">
        <v>1</v>
      </c>
      <c r="R473" s="66">
        <v>45488</v>
      </c>
      <c r="S473" s="54">
        <v>45499</v>
      </c>
      <c r="T473" s="45" t="s">
        <v>19</v>
      </c>
      <c r="U473" s="100">
        <v>1</v>
      </c>
      <c r="V473" s="108">
        <v>0</v>
      </c>
      <c r="W473" s="22" t="s">
        <v>40</v>
      </c>
      <c r="X473" s="88" t="str">
        <f t="shared" si="36"/>
        <v>2EIWAD-P1.25</v>
      </c>
      <c r="Y473" s="22" t="s">
        <v>32</v>
      </c>
      <c r="Z473" s="78"/>
    </row>
    <row r="474" spans="1:26" s="70" customFormat="1" ht="24.95" customHeight="1">
      <c r="A474" s="80"/>
      <c r="B474" s="99">
        <v>45474</v>
      </c>
      <c r="C474" s="138" t="s">
        <v>35</v>
      </c>
      <c r="D474" s="59" t="s">
        <v>20</v>
      </c>
      <c r="E474" s="14" t="str">
        <f>IF(B459="","",LEFT(N474,3))</f>
        <v>V6A</v>
      </c>
      <c r="F474" s="111" t="s">
        <v>186</v>
      </c>
      <c r="G474" s="15" t="s">
        <v>27</v>
      </c>
      <c r="H474" s="111">
        <v>1.18</v>
      </c>
      <c r="I474" s="22" t="s">
        <v>187</v>
      </c>
      <c r="J474" s="21" t="s">
        <v>951</v>
      </c>
      <c r="K474" s="21" t="s">
        <v>1280</v>
      </c>
      <c r="L474" s="125" t="s">
        <v>809</v>
      </c>
      <c r="M474" s="96"/>
      <c r="N474" s="45" t="s">
        <v>1465</v>
      </c>
      <c r="O474" s="23" t="s">
        <v>242</v>
      </c>
      <c r="P474" s="45" t="s">
        <v>365</v>
      </c>
      <c r="Q474" s="88">
        <v>10</v>
      </c>
      <c r="R474" s="66">
        <v>45498</v>
      </c>
      <c r="S474" s="54">
        <v>45499</v>
      </c>
      <c r="T474" s="45" t="s">
        <v>19</v>
      </c>
      <c r="U474" s="100">
        <v>10</v>
      </c>
      <c r="V474" s="108">
        <v>0</v>
      </c>
      <c r="W474" s="22" t="s">
        <v>40</v>
      </c>
      <c r="X474" s="88" t="str">
        <f t="shared" si="36"/>
        <v>1HGZ-MA1.18</v>
      </c>
      <c r="Y474" s="22" t="s">
        <v>32</v>
      </c>
      <c r="Z474" s="78"/>
    </row>
    <row r="475" spans="1:26" s="70" customFormat="1" ht="24.95" customHeight="1">
      <c r="A475" s="80"/>
      <c r="B475" s="99">
        <v>45474</v>
      </c>
      <c r="C475" s="138" t="s">
        <v>35</v>
      </c>
      <c r="D475" s="59" t="s">
        <v>20</v>
      </c>
      <c r="E475" s="14" t="str">
        <f>IF(B460="","",LEFT(N475,3))</f>
        <v>VOB</v>
      </c>
      <c r="F475" s="111" t="s">
        <v>259</v>
      </c>
      <c r="G475" s="3" t="s">
        <v>26</v>
      </c>
      <c r="H475" s="111">
        <v>0.56000000000000005</v>
      </c>
      <c r="I475" s="22" t="s">
        <v>31</v>
      </c>
      <c r="J475" s="21" t="s">
        <v>763</v>
      </c>
      <c r="K475" s="21"/>
      <c r="L475" s="125" t="s">
        <v>208</v>
      </c>
      <c r="M475" s="96"/>
      <c r="N475" s="45" t="s">
        <v>1466</v>
      </c>
      <c r="O475" s="23" t="s">
        <v>39</v>
      </c>
      <c r="P475" s="45" t="s">
        <v>38</v>
      </c>
      <c r="Q475" s="88">
        <v>5</v>
      </c>
      <c r="R475" s="66">
        <v>45497</v>
      </c>
      <c r="S475" s="54">
        <v>45499</v>
      </c>
      <c r="T475" s="45" t="s">
        <v>19</v>
      </c>
      <c r="U475" s="100">
        <v>5</v>
      </c>
      <c r="V475" s="108">
        <v>0</v>
      </c>
      <c r="W475" s="22" t="s">
        <v>40</v>
      </c>
      <c r="X475" s="88" t="str">
        <f t="shared" si="36"/>
        <v>D1-PEW-B-2T0.56</v>
      </c>
      <c r="Y475" s="22" t="s">
        <v>32</v>
      </c>
      <c r="Z475" s="78"/>
    </row>
    <row r="476" spans="1:26" s="70" customFormat="1" ht="24.95" customHeight="1">
      <c r="A476" s="80"/>
      <c r="B476" s="99">
        <v>45474</v>
      </c>
      <c r="C476" s="138" t="s">
        <v>35</v>
      </c>
      <c r="D476" s="59" t="s">
        <v>20</v>
      </c>
      <c r="E476" s="14" t="str">
        <f t="shared" ref="E476:E477" si="38">IF(B461="","",LEFT(N476,3))</f>
        <v>12B</v>
      </c>
      <c r="F476" s="111" t="s">
        <v>633</v>
      </c>
      <c r="G476" s="3" t="s">
        <v>26</v>
      </c>
      <c r="H476" s="111">
        <v>1.25</v>
      </c>
      <c r="I476" s="22" t="s">
        <v>187</v>
      </c>
      <c r="J476" s="21" t="s">
        <v>1467</v>
      </c>
      <c r="K476" s="21"/>
      <c r="L476" s="125"/>
      <c r="M476" s="96"/>
      <c r="N476" s="45" t="s">
        <v>1468</v>
      </c>
      <c r="O476" s="23" t="s">
        <v>1262</v>
      </c>
      <c r="P476" s="45">
        <v>3</v>
      </c>
      <c r="Q476" s="88">
        <v>1</v>
      </c>
      <c r="R476" s="66">
        <v>45487</v>
      </c>
      <c r="S476" s="54">
        <v>45499</v>
      </c>
      <c r="T476" s="45" t="s">
        <v>19</v>
      </c>
      <c r="U476" s="100">
        <v>1</v>
      </c>
      <c r="V476" s="108">
        <v>0</v>
      </c>
      <c r="W476" s="22" t="s">
        <v>40</v>
      </c>
      <c r="X476" s="88" t="str">
        <f t="shared" si="36"/>
        <v>2EIWAD-P1.25</v>
      </c>
      <c r="Y476" s="22" t="s">
        <v>32</v>
      </c>
      <c r="Z476" s="78"/>
    </row>
    <row r="477" spans="1:26" s="70" customFormat="1" ht="24.95" customHeight="1">
      <c r="A477" s="80"/>
      <c r="B477" s="99">
        <v>45474</v>
      </c>
      <c r="C477" s="138" t="s">
        <v>35</v>
      </c>
      <c r="D477" s="59" t="s">
        <v>20</v>
      </c>
      <c r="E477" s="14" t="str">
        <f t="shared" si="38"/>
        <v>V8D</v>
      </c>
      <c r="F477" s="111" t="s">
        <v>24</v>
      </c>
      <c r="G477" s="3" t="s">
        <v>26</v>
      </c>
      <c r="H477" s="111">
        <v>0.77</v>
      </c>
      <c r="I477" s="22" t="s">
        <v>28</v>
      </c>
      <c r="J477" s="21" t="s">
        <v>772</v>
      </c>
      <c r="K477" s="21"/>
      <c r="L477" s="125" t="s">
        <v>1469</v>
      </c>
      <c r="M477" s="96"/>
      <c r="N477" s="45" t="s">
        <v>1470</v>
      </c>
      <c r="O477" s="23" t="s">
        <v>176</v>
      </c>
      <c r="P477" s="45">
        <v>2</v>
      </c>
      <c r="Q477" s="88">
        <v>2</v>
      </c>
      <c r="R477" s="66">
        <v>45496</v>
      </c>
      <c r="S477" s="54">
        <v>45523</v>
      </c>
      <c r="T477" s="45" t="s">
        <v>19</v>
      </c>
      <c r="U477" s="100">
        <v>0</v>
      </c>
      <c r="V477" s="108">
        <v>2</v>
      </c>
      <c r="W477" s="22" t="s">
        <v>40</v>
      </c>
      <c r="X477" s="88" t="str">
        <f t="shared" si="36"/>
        <v>2PEW0.77</v>
      </c>
      <c r="Y477" s="22" t="s">
        <v>182</v>
      </c>
      <c r="Z477" s="78"/>
    </row>
    <row r="478" spans="1:26" s="70" customFormat="1" ht="24.95" customHeight="1">
      <c r="A478" s="80"/>
      <c r="B478" s="99">
        <v>45474</v>
      </c>
      <c r="C478" s="139" t="s">
        <v>51</v>
      </c>
      <c r="D478" s="59" t="s">
        <v>20</v>
      </c>
      <c r="E478" s="14" t="str">
        <f>IF(B462="","",LEFT(N478,3))</f>
        <v>H1A</v>
      </c>
      <c r="F478" s="111" t="s">
        <v>52</v>
      </c>
      <c r="G478" s="3" t="s">
        <v>26</v>
      </c>
      <c r="H478" s="111">
        <v>0.26</v>
      </c>
      <c r="I478" s="22" t="s">
        <v>43</v>
      </c>
      <c r="J478" s="21" t="s">
        <v>221</v>
      </c>
      <c r="K478" s="55" t="s">
        <v>1239</v>
      </c>
      <c r="L478" s="125" t="s">
        <v>502</v>
      </c>
      <c r="M478" s="96"/>
      <c r="N478" s="45" t="s">
        <v>1242</v>
      </c>
      <c r="O478" s="23" t="s">
        <v>30</v>
      </c>
      <c r="P478" s="45">
        <v>1.3</v>
      </c>
      <c r="Q478" s="88">
        <v>2</v>
      </c>
      <c r="R478" s="66">
        <v>45482</v>
      </c>
      <c r="S478" s="54">
        <v>45483</v>
      </c>
      <c r="T478" s="45" t="s">
        <v>19</v>
      </c>
      <c r="U478" s="100">
        <v>2</v>
      </c>
      <c r="V478" s="108">
        <v>0</v>
      </c>
      <c r="W478" s="22" t="s">
        <v>40</v>
      </c>
      <c r="X478" s="88" t="str">
        <f t="shared" si="36"/>
        <v>D2IDW4-B-20.26</v>
      </c>
      <c r="Y478" s="22" t="s">
        <v>32</v>
      </c>
      <c r="Z478" s="78"/>
    </row>
    <row r="479" spans="1:26" s="70" customFormat="1" ht="24.95" customHeight="1">
      <c r="A479" s="80"/>
      <c r="B479" s="99">
        <v>45474</v>
      </c>
      <c r="C479" s="139" t="s">
        <v>51</v>
      </c>
      <c r="D479" s="59" t="s">
        <v>20</v>
      </c>
      <c r="E479" s="14" t="str">
        <f t="shared" ref="E479:E485" si="39">IF(B425="","",LEFT(N479,3))</f>
        <v>H1A</v>
      </c>
      <c r="F479" s="111" t="s">
        <v>52</v>
      </c>
      <c r="G479" s="3" t="s">
        <v>26</v>
      </c>
      <c r="H479" s="111">
        <v>0.26</v>
      </c>
      <c r="I479" s="22" t="s">
        <v>43</v>
      </c>
      <c r="J479" s="21" t="s">
        <v>1263</v>
      </c>
      <c r="K479" s="55"/>
      <c r="L479" s="125" t="s">
        <v>1264</v>
      </c>
      <c r="M479" s="96"/>
      <c r="N479" s="45" t="s">
        <v>1265</v>
      </c>
      <c r="O479" s="23" t="s">
        <v>30</v>
      </c>
      <c r="P479" s="23" t="s">
        <v>1266</v>
      </c>
      <c r="Q479" s="88">
        <v>2</v>
      </c>
      <c r="R479" s="66">
        <v>45478</v>
      </c>
      <c r="S479" s="54">
        <v>45484</v>
      </c>
      <c r="T479" s="45" t="s">
        <v>19</v>
      </c>
      <c r="U479" s="100">
        <v>2</v>
      </c>
      <c r="V479" s="108">
        <v>0</v>
      </c>
      <c r="W479" s="22" t="s">
        <v>40</v>
      </c>
      <c r="X479" s="88" t="str">
        <f t="shared" si="36"/>
        <v>D2IDW4-B-20.26</v>
      </c>
      <c r="Y479" s="22" t="s">
        <v>32</v>
      </c>
      <c r="Z479" s="78"/>
    </row>
    <row r="480" spans="1:26" s="70" customFormat="1" ht="24.95" customHeight="1">
      <c r="A480" s="80"/>
      <c r="B480" s="99">
        <v>45474</v>
      </c>
      <c r="C480" s="139" t="s">
        <v>51</v>
      </c>
      <c r="D480" s="59" t="s">
        <v>20</v>
      </c>
      <c r="E480" s="14" t="str">
        <f t="shared" si="39"/>
        <v>H1A</v>
      </c>
      <c r="F480" s="111" t="s">
        <v>52</v>
      </c>
      <c r="G480" s="3" t="s">
        <v>26</v>
      </c>
      <c r="H480" s="111">
        <v>0.26</v>
      </c>
      <c r="I480" s="22" t="s">
        <v>43</v>
      </c>
      <c r="J480" s="21" t="s">
        <v>221</v>
      </c>
      <c r="K480" s="55"/>
      <c r="L480" s="125" t="s">
        <v>467</v>
      </c>
      <c r="M480" s="96"/>
      <c r="N480" s="45" t="s">
        <v>1267</v>
      </c>
      <c r="O480" s="23" t="s">
        <v>30</v>
      </c>
      <c r="P480" s="45">
        <v>1</v>
      </c>
      <c r="Q480" s="88">
        <v>1</v>
      </c>
      <c r="R480" s="66">
        <v>45481</v>
      </c>
      <c r="S480" s="54">
        <v>45484</v>
      </c>
      <c r="T480" s="45" t="s">
        <v>19</v>
      </c>
      <c r="U480" s="100">
        <v>1</v>
      </c>
      <c r="V480" s="108">
        <v>0</v>
      </c>
      <c r="W480" s="22" t="s">
        <v>40</v>
      </c>
      <c r="X480" s="88" t="str">
        <f t="shared" si="36"/>
        <v>D2IDW4-B-20.26</v>
      </c>
      <c r="Y480" s="22" t="s">
        <v>32</v>
      </c>
      <c r="Z480" s="78"/>
    </row>
    <row r="481" spans="1:26" s="70" customFormat="1" ht="24.95" customHeight="1">
      <c r="A481" s="80"/>
      <c r="B481" s="99">
        <v>45474</v>
      </c>
      <c r="C481" s="139" t="s">
        <v>51</v>
      </c>
      <c r="D481" s="59" t="s">
        <v>20</v>
      </c>
      <c r="E481" s="14" t="str">
        <f t="shared" si="39"/>
        <v>H1A</v>
      </c>
      <c r="F481" s="111" t="s">
        <v>52</v>
      </c>
      <c r="G481" s="3" t="s">
        <v>26</v>
      </c>
      <c r="H481" s="111">
        <v>0.26</v>
      </c>
      <c r="I481" s="22" t="s">
        <v>43</v>
      </c>
      <c r="J481" s="21" t="s">
        <v>221</v>
      </c>
      <c r="K481" s="55"/>
      <c r="L481" s="125" t="s">
        <v>467</v>
      </c>
      <c r="M481" s="96"/>
      <c r="N481" s="45" t="s">
        <v>1268</v>
      </c>
      <c r="O481" s="23" t="s">
        <v>30</v>
      </c>
      <c r="P481" s="23" t="s">
        <v>1266</v>
      </c>
      <c r="Q481" s="88">
        <v>2</v>
      </c>
      <c r="R481" s="66">
        <v>45479</v>
      </c>
      <c r="S481" s="54">
        <v>45484</v>
      </c>
      <c r="T481" s="45" t="s">
        <v>19</v>
      </c>
      <c r="U481" s="100">
        <v>2</v>
      </c>
      <c r="V481" s="108">
        <v>0</v>
      </c>
      <c r="W481" s="22" t="s">
        <v>40</v>
      </c>
      <c r="X481" s="88" t="str">
        <f t="shared" si="36"/>
        <v>D2IDW4-B-20.26</v>
      </c>
      <c r="Y481" s="22" t="s">
        <v>32</v>
      </c>
      <c r="Z481" s="78"/>
    </row>
    <row r="482" spans="1:26" s="70" customFormat="1" ht="24.95" customHeight="1">
      <c r="A482" s="80"/>
      <c r="B482" s="99">
        <v>45474</v>
      </c>
      <c r="C482" s="139" t="s">
        <v>51</v>
      </c>
      <c r="D482" s="59" t="s">
        <v>20</v>
      </c>
      <c r="E482" s="14" t="str">
        <f t="shared" si="39"/>
        <v>H1A</v>
      </c>
      <c r="F482" s="111" t="s">
        <v>52</v>
      </c>
      <c r="G482" s="3" t="s">
        <v>26</v>
      </c>
      <c r="H482" s="111">
        <v>0.26</v>
      </c>
      <c r="I482" s="22" t="s">
        <v>43</v>
      </c>
      <c r="J482" s="21" t="s">
        <v>53</v>
      </c>
      <c r="K482" s="55"/>
      <c r="L482" s="125" t="s">
        <v>761</v>
      </c>
      <c r="M482" s="96"/>
      <c r="N482" s="45" t="s">
        <v>1269</v>
      </c>
      <c r="O482" s="23" t="s">
        <v>30</v>
      </c>
      <c r="P482" s="23" t="s">
        <v>1266</v>
      </c>
      <c r="Q482" s="88">
        <v>2</v>
      </c>
      <c r="R482" s="66">
        <v>45477</v>
      </c>
      <c r="S482" s="54">
        <v>45484</v>
      </c>
      <c r="T482" s="45" t="s">
        <v>19</v>
      </c>
      <c r="U482" s="100">
        <v>2</v>
      </c>
      <c r="V482" s="108">
        <v>0</v>
      </c>
      <c r="W482" s="22" t="s">
        <v>40</v>
      </c>
      <c r="X482" s="88" t="str">
        <f t="shared" si="36"/>
        <v>D2IDW4-B-20.26</v>
      </c>
      <c r="Y482" s="22" t="s">
        <v>32</v>
      </c>
      <c r="Z482" s="78"/>
    </row>
    <row r="483" spans="1:26" s="70" customFormat="1" ht="24.95" customHeight="1">
      <c r="A483" s="80"/>
      <c r="B483" s="99">
        <v>45474</v>
      </c>
      <c r="C483" s="139" t="s">
        <v>51</v>
      </c>
      <c r="D483" s="59" t="s">
        <v>20</v>
      </c>
      <c r="E483" s="14" t="str">
        <f t="shared" si="39"/>
        <v>H4A</v>
      </c>
      <c r="F483" s="111" t="s">
        <v>429</v>
      </c>
      <c r="G483" s="3" t="s">
        <v>26</v>
      </c>
      <c r="H483" s="111">
        <v>0.42</v>
      </c>
      <c r="I483" s="22" t="s">
        <v>430</v>
      </c>
      <c r="J483" s="21" t="s">
        <v>763</v>
      </c>
      <c r="K483" s="55"/>
      <c r="L483" s="125" t="s">
        <v>1270</v>
      </c>
      <c r="M483" s="96"/>
      <c r="N483" s="45" t="s">
        <v>1271</v>
      </c>
      <c r="O483" s="23" t="s">
        <v>933</v>
      </c>
      <c r="P483" s="45">
        <v>1</v>
      </c>
      <c r="Q483" s="88">
        <v>5</v>
      </c>
      <c r="R483" s="66">
        <v>45481</v>
      </c>
      <c r="S483" s="54">
        <v>45484</v>
      </c>
      <c r="T483" s="45" t="s">
        <v>19</v>
      </c>
      <c r="U483" s="100">
        <v>5</v>
      </c>
      <c r="V483" s="108">
        <v>0</v>
      </c>
      <c r="W483" s="22" t="s">
        <v>40</v>
      </c>
      <c r="X483" s="88" t="str">
        <f t="shared" si="36"/>
        <v>2-ATZ-3000.42</v>
      </c>
      <c r="Y483" s="22" t="s">
        <v>32</v>
      </c>
      <c r="Z483" s="78"/>
    </row>
    <row r="484" spans="1:26" s="70" customFormat="1" ht="24.95" customHeight="1">
      <c r="A484" s="80"/>
      <c r="B484" s="99">
        <v>45474</v>
      </c>
      <c r="C484" s="139" t="s">
        <v>51</v>
      </c>
      <c r="D484" s="59" t="s">
        <v>20</v>
      </c>
      <c r="E484" s="14" t="str">
        <f t="shared" si="39"/>
        <v>H1A</v>
      </c>
      <c r="F484" s="111" t="s">
        <v>52</v>
      </c>
      <c r="G484" s="3" t="s">
        <v>26</v>
      </c>
      <c r="H484" s="111">
        <v>0.26</v>
      </c>
      <c r="I484" s="22" t="s">
        <v>43</v>
      </c>
      <c r="J484" s="21" t="s">
        <v>1272</v>
      </c>
      <c r="K484" s="55"/>
      <c r="L484" s="125"/>
      <c r="M484" s="96"/>
      <c r="N484" s="45" t="s">
        <v>1268</v>
      </c>
      <c r="O484" s="23" t="s">
        <v>29</v>
      </c>
      <c r="P484" s="45">
        <v>3</v>
      </c>
      <c r="Q484" s="88">
        <v>1</v>
      </c>
      <c r="R484" s="66">
        <v>45480</v>
      </c>
      <c r="S484" s="54">
        <v>45484</v>
      </c>
      <c r="T484" s="45" t="s">
        <v>19</v>
      </c>
      <c r="U484" s="100">
        <v>1</v>
      </c>
      <c r="V484" s="108">
        <v>0</v>
      </c>
      <c r="W484" s="22" t="s">
        <v>40</v>
      </c>
      <c r="X484" s="88" t="str">
        <f t="shared" si="36"/>
        <v>D2IDW4-B-20.26</v>
      </c>
      <c r="Y484" s="22" t="s">
        <v>32</v>
      </c>
      <c r="Z484" s="78"/>
    </row>
    <row r="485" spans="1:26" s="70" customFormat="1" ht="24.95" customHeight="1">
      <c r="A485" s="80"/>
      <c r="B485" s="99">
        <v>45474</v>
      </c>
      <c r="C485" s="139" t="s">
        <v>51</v>
      </c>
      <c r="D485" s="59" t="s">
        <v>20</v>
      </c>
      <c r="E485" s="14" t="str">
        <f t="shared" si="39"/>
        <v>H4A</v>
      </c>
      <c r="F485" s="111" t="s">
        <v>429</v>
      </c>
      <c r="G485" s="3" t="s">
        <v>26</v>
      </c>
      <c r="H485" s="111">
        <v>0.42</v>
      </c>
      <c r="I485" s="22" t="s">
        <v>430</v>
      </c>
      <c r="J485" s="21" t="s">
        <v>763</v>
      </c>
      <c r="K485" s="55"/>
      <c r="L485" s="125"/>
      <c r="M485" s="96"/>
      <c r="N485" s="45" t="s">
        <v>1271</v>
      </c>
      <c r="O485" s="23" t="s">
        <v>1273</v>
      </c>
      <c r="P485" s="45">
        <v>1</v>
      </c>
      <c r="Q485" s="88">
        <v>6</v>
      </c>
      <c r="R485" s="66">
        <v>45481</v>
      </c>
      <c r="S485" s="54">
        <v>45484</v>
      </c>
      <c r="T485" s="45" t="s">
        <v>19</v>
      </c>
      <c r="U485" s="100">
        <v>6</v>
      </c>
      <c r="V485" s="108">
        <v>0</v>
      </c>
      <c r="W485" s="22" t="s">
        <v>40</v>
      </c>
      <c r="X485" s="88" t="str">
        <f t="shared" si="36"/>
        <v>2-ATZ-3000.42</v>
      </c>
      <c r="Y485" s="22" t="s">
        <v>32</v>
      </c>
      <c r="Z485" s="78"/>
    </row>
    <row r="486" spans="1:26" s="25" customFormat="1" ht="24.95" customHeight="1">
      <c r="A486" s="140"/>
      <c r="B486" s="141">
        <v>45474</v>
      </c>
      <c r="C486" s="142" t="s">
        <v>51</v>
      </c>
      <c r="D486" s="22" t="s">
        <v>20</v>
      </c>
      <c r="E486" s="14" t="str">
        <f>IF(B432="","",LEFT(N421,3))</f>
        <v>H4A</v>
      </c>
      <c r="F486" s="111" t="s">
        <v>52</v>
      </c>
      <c r="G486" s="3" t="s">
        <v>26</v>
      </c>
      <c r="H486" s="111">
        <v>0.26</v>
      </c>
      <c r="I486" s="22" t="s">
        <v>43</v>
      </c>
      <c r="J486" s="21" t="s">
        <v>221</v>
      </c>
      <c r="K486" s="22"/>
      <c r="L486" s="21" t="s">
        <v>778</v>
      </c>
      <c r="M486" s="22"/>
      <c r="N486" s="22" t="s">
        <v>1269</v>
      </c>
      <c r="O486" s="22">
        <v>1</v>
      </c>
      <c r="P486" s="23" t="s">
        <v>1266</v>
      </c>
      <c r="Q486" s="22">
        <v>2</v>
      </c>
      <c r="R486" s="128">
        <v>45477</v>
      </c>
      <c r="S486" s="128">
        <v>45484</v>
      </c>
      <c r="T486" s="45" t="s">
        <v>19</v>
      </c>
      <c r="U486" s="100">
        <v>2</v>
      </c>
      <c r="V486" s="108">
        <v>0</v>
      </c>
      <c r="W486" s="22" t="s">
        <v>40</v>
      </c>
      <c r="X486" s="22" t="str">
        <f t="shared" si="36"/>
        <v>D2IDW4-B-20.26</v>
      </c>
      <c r="Y486" s="22" t="s">
        <v>32</v>
      </c>
      <c r="Z486" s="143"/>
    </row>
    <row r="487" spans="1:26" s="70" customFormat="1" ht="24.95" customHeight="1">
      <c r="A487" s="80"/>
      <c r="B487" s="99">
        <v>45474</v>
      </c>
      <c r="C487" s="139" t="s">
        <v>51</v>
      </c>
      <c r="D487" s="59" t="s">
        <v>20</v>
      </c>
      <c r="E487" s="14" t="str">
        <f t="shared" ref="E487:E494" si="40">IF(B433="","",LEFT(N487,3))</f>
        <v>H1A</v>
      </c>
      <c r="F487" s="111" t="s">
        <v>52</v>
      </c>
      <c r="G487" s="3" t="s">
        <v>26</v>
      </c>
      <c r="H487" s="111">
        <v>0.26</v>
      </c>
      <c r="I487" s="22" t="s">
        <v>43</v>
      </c>
      <c r="J487" s="21" t="s">
        <v>1275</v>
      </c>
      <c r="K487" s="55"/>
      <c r="L487" s="125"/>
      <c r="M487" s="96"/>
      <c r="N487" s="45" t="s">
        <v>1276</v>
      </c>
      <c r="O487" s="23" t="s">
        <v>30</v>
      </c>
      <c r="P487" s="23" t="s">
        <v>1266</v>
      </c>
      <c r="Q487" s="88">
        <v>2</v>
      </c>
      <c r="R487" s="66">
        <v>45478</v>
      </c>
      <c r="S487" s="54">
        <v>45484</v>
      </c>
      <c r="T487" s="45" t="s">
        <v>19</v>
      </c>
      <c r="U487" s="100">
        <v>2</v>
      </c>
      <c r="V487" s="108">
        <v>0</v>
      </c>
      <c r="W487" s="22" t="s">
        <v>40</v>
      </c>
      <c r="X487" s="22" t="str">
        <f t="shared" si="36"/>
        <v>D2IDW4-B-20.26</v>
      </c>
      <c r="Y487" s="22" t="s">
        <v>32</v>
      </c>
      <c r="Z487" s="78"/>
    </row>
    <row r="488" spans="1:26" s="70" customFormat="1" ht="24.95" customHeight="1">
      <c r="A488" s="80"/>
      <c r="B488" s="99">
        <v>45474</v>
      </c>
      <c r="C488" s="139" t="s">
        <v>51</v>
      </c>
      <c r="D488" s="59" t="s">
        <v>20</v>
      </c>
      <c r="E488" s="14" t="str">
        <f t="shared" si="40"/>
        <v>H1A</v>
      </c>
      <c r="F488" s="111" t="s">
        <v>52</v>
      </c>
      <c r="G488" s="3" t="s">
        <v>26</v>
      </c>
      <c r="H488" s="111">
        <v>0.26</v>
      </c>
      <c r="I488" s="22" t="s">
        <v>43</v>
      </c>
      <c r="J488" s="21" t="s">
        <v>1263</v>
      </c>
      <c r="K488" s="55"/>
      <c r="L488" s="125"/>
      <c r="M488" s="96"/>
      <c r="N488" s="45" t="s">
        <v>1276</v>
      </c>
      <c r="O488" s="23" t="s">
        <v>176</v>
      </c>
      <c r="P488" s="23" t="s">
        <v>389</v>
      </c>
      <c r="Q488" s="88">
        <v>2</v>
      </c>
      <c r="R488" s="66">
        <v>45478</v>
      </c>
      <c r="S488" s="54">
        <v>45484</v>
      </c>
      <c r="T488" s="45" t="s">
        <v>19</v>
      </c>
      <c r="U488" s="100">
        <v>2</v>
      </c>
      <c r="V488" s="108">
        <v>0</v>
      </c>
      <c r="W488" s="22" t="s">
        <v>40</v>
      </c>
      <c r="X488" s="22" t="str">
        <f t="shared" si="36"/>
        <v>D2IDW4-B-20.26</v>
      </c>
      <c r="Y488" s="22" t="s">
        <v>32</v>
      </c>
      <c r="Z488" s="78"/>
    </row>
    <row r="489" spans="1:26" s="70" customFormat="1" ht="24.95" customHeight="1">
      <c r="A489" s="80"/>
      <c r="B489" s="99">
        <v>45474</v>
      </c>
      <c r="C489" s="139" t="s">
        <v>51</v>
      </c>
      <c r="D489" s="59" t="s">
        <v>20</v>
      </c>
      <c r="E489" s="14" t="str">
        <f t="shared" si="40"/>
        <v>H1A</v>
      </c>
      <c r="F489" s="111" t="s">
        <v>52</v>
      </c>
      <c r="G489" s="3" t="s">
        <v>26</v>
      </c>
      <c r="H489" s="111">
        <v>0.26</v>
      </c>
      <c r="I489" s="22" t="s">
        <v>43</v>
      </c>
      <c r="J489" s="21" t="s">
        <v>221</v>
      </c>
      <c r="K489" s="55"/>
      <c r="L489" s="125" t="s">
        <v>1282</v>
      </c>
      <c r="M489" s="96"/>
      <c r="N489" s="45" t="s">
        <v>1242</v>
      </c>
      <c r="O489" s="23" t="s">
        <v>30</v>
      </c>
      <c r="P489" s="23" t="s">
        <v>250</v>
      </c>
      <c r="Q489" s="88">
        <v>1</v>
      </c>
      <c r="R489" s="66">
        <v>45483</v>
      </c>
      <c r="S489" s="54">
        <v>45489</v>
      </c>
      <c r="T489" s="45" t="s">
        <v>19</v>
      </c>
      <c r="U489" s="100">
        <v>1</v>
      </c>
      <c r="V489" s="108">
        <v>0</v>
      </c>
      <c r="W489" s="22" t="s">
        <v>40</v>
      </c>
      <c r="X489" s="22" t="str">
        <f t="shared" si="36"/>
        <v>D2IDW4-B-20.26</v>
      </c>
      <c r="Y489" s="22" t="s">
        <v>32</v>
      </c>
      <c r="Z489" s="78"/>
    </row>
    <row r="490" spans="1:26" s="70" customFormat="1" ht="24.95" customHeight="1">
      <c r="A490" s="80"/>
      <c r="B490" s="99">
        <v>45474</v>
      </c>
      <c r="C490" s="139" t="s">
        <v>51</v>
      </c>
      <c r="D490" s="59" t="s">
        <v>20</v>
      </c>
      <c r="E490" s="14" t="str">
        <f t="shared" si="40"/>
        <v>H2B</v>
      </c>
      <c r="F490" s="111" t="s">
        <v>212</v>
      </c>
      <c r="G490" s="3" t="s">
        <v>26</v>
      </c>
      <c r="H490" s="111">
        <v>0.31</v>
      </c>
      <c r="I490" s="22" t="s">
        <v>31</v>
      </c>
      <c r="J490" s="21" t="s">
        <v>1147</v>
      </c>
      <c r="K490" s="21" t="s">
        <v>1147</v>
      </c>
      <c r="L490" s="125" t="s">
        <v>1283</v>
      </c>
      <c r="M490" s="96"/>
      <c r="N490" s="45" t="s">
        <v>1284</v>
      </c>
      <c r="O490" s="23" t="s">
        <v>30</v>
      </c>
      <c r="P490" s="23" t="s">
        <v>250</v>
      </c>
      <c r="Q490" s="88">
        <v>1</v>
      </c>
      <c r="R490" s="66">
        <v>45475</v>
      </c>
      <c r="S490" s="54">
        <v>45489</v>
      </c>
      <c r="T490" s="45" t="s">
        <v>19</v>
      </c>
      <c r="U490" s="100">
        <v>1</v>
      </c>
      <c r="V490" s="108">
        <v>0</v>
      </c>
      <c r="W490" s="22" t="s">
        <v>40</v>
      </c>
      <c r="X490" s="22" t="str">
        <f t="shared" si="36"/>
        <v>D2-IDW-2-20.31</v>
      </c>
      <c r="Y490" s="22" t="s">
        <v>32</v>
      </c>
      <c r="Z490" s="78"/>
    </row>
    <row r="491" spans="1:26" s="70" customFormat="1" ht="24.95" customHeight="1">
      <c r="A491" s="80"/>
      <c r="B491" s="99">
        <v>45474</v>
      </c>
      <c r="C491" s="139" t="s">
        <v>51</v>
      </c>
      <c r="D491" s="59" t="s">
        <v>20</v>
      </c>
      <c r="E491" s="14" t="str">
        <f t="shared" si="40"/>
        <v>H2B</v>
      </c>
      <c r="F491" s="111" t="s">
        <v>212</v>
      </c>
      <c r="G491" s="3" t="s">
        <v>26</v>
      </c>
      <c r="H491" s="111">
        <v>0.31</v>
      </c>
      <c r="I491" s="22" t="s">
        <v>31</v>
      </c>
      <c r="J491" s="21" t="s">
        <v>158</v>
      </c>
      <c r="K491" s="55" t="s">
        <v>1285</v>
      </c>
      <c r="L491" s="125" t="s">
        <v>1286</v>
      </c>
      <c r="M491" s="96"/>
      <c r="N491" s="45" t="s">
        <v>1287</v>
      </c>
      <c r="O491" s="23" t="s">
        <v>29</v>
      </c>
      <c r="P491" s="23" t="s">
        <v>328</v>
      </c>
      <c r="Q491" s="88">
        <v>1</v>
      </c>
      <c r="R491" s="66">
        <v>45481</v>
      </c>
      <c r="S491" s="54">
        <v>45489</v>
      </c>
      <c r="T491" s="45" t="s">
        <v>19</v>
      </c>
      <c r="U491" s="100">
        <v>1</v>
      </c>
      <c r="V491" s="108">
        <v>0</v>
      </c>
      <c r="W491" s="22" t="s">
        <v>40</v>
      </c>
      <c r="X491" s="22" t="str">
        <f t="shared" si="36"/>
        <v>D2-IDW-2-20.31</v>
      </c>
      <c r="Y491" s="22" t="s">
        <v>32</v>
      </c>
      <c r="Z491" s="78"/>
    </row>
    <row r="492" spans="1:26" s="70" customFormat="1" ht="24.95" customHeight="1">
      <c r="A492" s="80"/>
      <c r="B492" s="99">
        <v>45474</v>
      </c>
      <c r="C492" s="139" t="s">
        <v>51</v>
      </c>
      <c r="D492" s="59" t="s">
        <v>20</v>
      </c>
      <c r="E492" s="14" t="str">
        <f t="shared" si="40"/>
        <v>H1A</v>
      </c>
      <c r="F492" s="111" t="s">
        <v>52</v>
      </c>
      <c r="G492" s="3" t="s">
        <v>26</v>
      </c>
      <c r="H492" s="111">
        <v>0.26</v>
      </c>
      <c r="I492" s="22" t="s">
        <v>43</v>
      </c>
      <c r="J492" s="21" t="s">
        <v>1290</v>
      </c>
      <c r="K492" s="21" t="s">
        <v>1290</v>
      </c>
      <c r="L492" s="21" t="s">
        <v>1291</v>
      </c>
      <c r="M492" s="96"/>
      <c r="N492" s="45" t="s">
        <v>1292</v>
      </c>
      <c r="O492" s="23" t="s">
        <v>30</v>
      </c>
      <c r="P492" s="23" t="s">
        <v>328</v>
      </c>
      <c r="Q492" s="88">
        <v>1</v>
      </c>
      <c r="R492" s="66">
        <v>45483</v>
      </c>
      <c r="S492" s="54">
        <v>45489</v>
      </c>
      <c r="T492" s="45" t="s">
        <v>19</v>
      </c>
      <c r="U492" s="100">
        <v>1</v>
      </c>
      <c r="V492" s="108">
        <v>0</v>
      </c>
      <c r="W492" s="22" t="s">
        <v>40</v>
      </c>
      <c r="X492" s="22" t="str">
        <f t="shared" si="36"/>
        <v>D2IDW4-B-20.26</v>
      </c>
      <c r="Y492" s="22" t="s">
        <v>32</v>
      </c>
      <c r="Z492" s="78"/>
    </row>
    <row r="493" spans="1:26" s="70" customFormat="1" ht="24.95" customHeight="1">
      <c r="A493" s="80"/>
      <c r="B493" s="99">
        <v>45474</v>
      </c>
      <c r="C493" s="139" t="s">
        <v>51</v>
      </c>
      <c r="D493" s="59" t="s">
        <v>20</v>
      </c>
      <c r="E493" s="14" t="str">
        <f t="shared" si="40"/>
        <v>H1A</v>
      </c>
      <c r="F493" s="111" t="s">
        <v>52</v>
      </c>
      <c r="G493" s="3" t="s">
        <v>26</v>
      </c>
      <c r="H493" s="111">
        <v>0.26</v>
      </c>
      <c r="I493" s="22" t="s">
        <v>43</v>
      </c>
      <c r="J493" s="21" t="s">
        <v>1293</v>
      </c>
      <c r="K493" s="55"/>
      <c r="L493" s="125" t="s">
        <v>761</v>
      </c>
      <c r="M493" s="96"/>
      <c r="N493" s="45" t="s">
        <v>1292</v>
      </c>
      <c r="O493" s="23" t="s">
        <v>29</v>
      </c>
      <c r="P493" s="23" t="s">
        <v>1294</v>
      </c>
      <c r="Q493" s="88">
        <v>3</v>
      </c>
      <c r="R493" s="66">
        <v>45483</v>
      </c>
      <c r="S493" s="54">
        <v>45489</v>
      </c>
      <c r="T493" s="45" t="s">
        <v>19</v>
      </c>
      <c r="U493" s="100">
        <v>3</v>
      </c>
      <c r="V493" s="108">
        <v>0</v>
      </c>
      <c r="W493" s="22" t="s">
        <v>40</v>
      </c>
      <c r="X493" s="22" t="str">
        <f t="shared" si="36"/>
        <v>D2IDW4-B-20.26</v>
      </c>
      <c r="Y493" s="22" t="s">
        <v>32</v>
      </c>
      <c r="Z493" s="78"/>
    </row>
    <row r="494" spans="1:26" s="70" customFormat="1" ht="24.95" customHeight="1">
      <c r="A494" s="80"/>
      <c r="B494" s="99">
        <v>45474</v>
      </c>
      <c r="C494" s="139" t="s">
        <v>51</v>
      </c>
      <c r="D494" s="59" t="s">
        <v>20</v>
      </c>
      <c r="E494" s="14" t="str">
        <f t="shared" si="40"/>
        <v>H1A</v>
      </c>
      <c r="F494" s="111" t="s">
        <v>52</v>
      </c>
      <c r="G494" s="3" t="s">
        <v>26</v>
      </c>
      <c r="H494" s="111">
        <v>0.26</v>
      </c>
      <c r="I494" s="22" t="s">
        <v>43</v>
      </c>
      <c r="J494" s="21" t="s">
        <v>1295</v>
      </c>
      <c r="K494" s="55"/>
      <c r="L494" s="125" t="s">
        <v>1296</v>
      </c>
      <c r="M494" s="96"/>
      <c r="N494" s="45" t="s">
        <v>1267</v>
      </c>
      <c r="O494" s="23" t="s">
        <v>29</v>
      </c>
      <c r="P494" s="23" t="s">
        <v>1297</v>
      </c>
      <c r="Q494" s="88">
        <v>2</v>
      </c>
      <c r="R494" s="66">
        <v>45481</v>
      </c>
      <c r="S494" s="54">
        <v>45490</v>
      </c>
      <c r="T494" s="45" t="s">
        <v>19</v>
      </c>
      <c r="U494" s="100">
        <v>2</v>
      </c>
      <c r="V494" s="108">
        <v>0</v>
      </c>
      <c r="W494" s="22" t="s">
        <v>40</v>
      </c>
      <c r="X494" s="22" t="str">
        <f t="shared" si="36"/>
        <v>D2IDW4-B-20.26</v>
      </c>
      <c r="Y494" s="22" t="s">
        <v>32</v>
      </c>
      <c r="Z494" s="78"/>
    </row>
    <row r="495" spans="1:26" s="70" customFormat="1" ht="24.95" customHeight="1">
      <c r="A495" s="80"/>
      <c r="B495" s="99">
        <v>45474</v>
      </c>
      <c r="C495" s="144" t="s">
        <v>51</v>
      </c>
      <c r="D495" s="59" t="s">
        <v>20</v>
      </c>
      <c r="E495" s="14" t="str">
        <f t="shared" ref="E495:E509" si="41">IF(B478="","",LEFT(N495,3))</f>
        <v>H1A</v>
      </c>
      <c r="F495" s="111" t="s">
        <v>52</v>
      </c>
      <c r="G495" s="3" t="s">
        <v>26</v>
      </c>
      <c r="H495" s="111">
        <v>0.26</v>
      </c>
      <c r="I495" s="22" t="s">
        <v>43</v>
      </c>
      <c r="J495" s="21" t="s">
        <v>1275</v>
      </c>
      <c r="K495" s="55"/>
      <c r="L495" s="125" t="s">
        <v>1156</v>
      </c>
      <c r="M495" s="96"/>
      <c r="N495" s="45" t="s">
        <v>1298</v>
      </c>
      <c r="O495" s="23" t="s">
        <v>30</v>
      </c>
      <c r="P495" s="23" t="s">
        <v>250</v>
      </c>
      <c r="Q495" s="88">
        <v>1</v>
      </c>
      <c r="R495" s="66">
        <v>45481</v>
      </c>
      <c r="S495" s="54">
        <v>45489</v>
      </c>
      <c r="T495" s="45" t="s">
        <v>19</v>
      </c>
      <c r="U495" s="100">
        <v>1</v>
      </c>
      <c r="V495" s="108">
        <v>0</v>
      </c>
      <c r="W495" s="22" t="s">
        <v>40</v>
      </c>
      <c r="X495" s="22" t="str">
        <f t="shared" si="36"/>
        <v>D2IDW4-B-20.26</v>
      </c>
      <c r="Y495" s="22" t="s">
        <v>32</v>
      </c>
      <c r="Z495" s="78"/>
    </row>
    <row r="496" spans="1:26" s="70" customFormat="1" ht="24.95" customHeight="1">
      <c r="A496" s="80"/>
      <c r="B496" s="99">
        <v>45474</v>
      </c>
      <c r="C496" s="144" t="s">
        <v>51</v>
      </c>
      <c r="D496" s="59" t="s">
        <v>20</v>
      </c>
      <c r="E496" s="14" t="str">
        <f t="shared" si="41"/>
        <v>H1A</v>
      </c>
      <c r="F496" s="111" t="s">
        <v>52</v>
      </c>
      <c r="G496" s="3" t="s">
        <v>26</v>
      </c>
      <c r="H496" s="111">
        <v>0.26</v>
      </c>
      <c r="I496" s="22" t="s">
        <v>43</v>
      </c>
      <c r="J496" s="21" t="s">
        <v>53</v>
      </c>
      <c r="K496" s="55"/>
      <c r="L496" s="125" t="s">
        <v>761</v>
      </c>
      <c r="M496" s="96"/>
      <c r="N496" s="45" t="s">
        <v>1305</v>
      </c>
      <c r="O496" s="23" t="s">
        <v>30</v>
      </c>
      <c r="P496" s="23" t="s">
        <v>273</v>
      </c>
      <c r="Q496" s="88">
        <v>1</v>
      </c>
      <c r="R496" s="66">
        <v>45485</v>
      </c>
      <c r="S496" s="54">
        <v>45496</v>
      </c>
      <c r="T496" s="45" t="s">
        <v>19</v>
      </c>
      <c r="U496" s="100">
        <v>1</v>
      </c>
      <c r="V496" s="108">
        <v>0</v>
      </c>
      <c r="W496" s="22" t="s">
        <v>40</v>
      </c>
      <c r="X496" s="22" t="str">
        <f t="shared" si="36"/>
        <v>D2IDW4-B-20.26</v>
      </c>
      <c r="Y496" s="22" t="s">
        <v>32</v>
      </c>
      <c r="Z496" s="78"/>
    </row>
    <row r="497" spans="1:26" s="70" customFormat="1" ht="24.95" customHeight="1">
      <c r="A497" s="80"/>
      <c r="B497" s="99">
        <v>45474</v>
      </c>
      <c r="C497" s="144" t="s">
        <v>51</v>
      </c>
      <c r="D497" s="59" t="s">
        <v>20</v>
      </c>
      <c r="E497" s="14" t="str">
        <f t="shared" si="41"/>
        <v>H2A</v>
      </c>
      <c r="F497" s="111" t="s">
        <v>52</v>
      </c>
      <c r="G497" s="3" t="s">
        <v>26</v>
      </c>
      <c r="H497" s="111">
        <v>0.24</v>
      </c>
      <c r="I497" s="22" t="s">
        <v>31</v>
      </c>
      <c r="J497" s="21" t="s">
        <v>1306</v>
      </c>
      <c r="K497" s="55"/>
      <c r="L497" s="125" t="s">
        <v>1307</v>
      </c>
      <c r="M497" s="96"/>
      <c r="N497" s="45" t="s">
        <v>1308</v>
      </c>
      <c r="O497" s="23" t="s">
        <v>29</v>
      </c>
      <c r="P497" s="23" t="s">
        <v>328</v>
      </c>
      <c r="Q497" s="88">
        <v>1</v>
      </c>
      <c r="R497" s="66">
        <v>45486</v>
      </c>
      <c r="S497" s="54">
        <v>45496</v>
      </c>
      <c r="T497" s="45" t="s">
        <v>19</v>
      </c>
      <c r="U497" s="100">
        <v>1</v>
      </c>
      <c r="V497" s="108">
        <v>0</v>
      </c>
      <c r="W497" s="22" t="s">
        <v>40</v>
      </c>
      <c r="X497" s="22" t="str">
        <f t="shared" si="36"/>
        <v>D2IDW4-B-20.24</v>
      </c>
      <c r="Y497" s="22" t="s">
        <v>32</v>
      </c>
      <c r="Z497" s="78"/>
    </row>
    <row r="498" spans="1:26" s="70" customFormat="1" ht="24.95" customHeight="1">
      <c r="A498" s="80"/>
      <c r="B498" s="99">
        <v>45474</v>
      </c>
      <c r="C498" s="144" t="s">
        <v>51</v>
      </c>
      <c r="D498" s="59" t="s">
        <v>20</v>
      </c>
      <c r="E498" s="14" t="str">
        <f t="shared" si="41"/>
        <v>H2A</v>
      </c>
      <c r="F498" s="111" t="s">
        <v>52</v>
      </c>
      <c r="G498" s="3" t="s">
        <v>26</v>
      </c>
      <c r="H498" s="111">
        <v>0.24</v>
      </c>
      <c r="I498" s="22" t="s">
        <v>31</v>
      </c>
      <c r="J498" s="21" t="s">
        <v>1309</v>
      </c>
      <c r="K498" s="55"/>
      <c r="L498" s="125" t="s">
        <v>283</v>
      </c>
      <c r="M498" s="96"/>
      <c r="N498" s="45" t="s">
        <v>1308</v>
      </c>
      <c r="O498" s="23" t="s">
        <v>30</v>
      </c>
      <c r="P498" s="23" t="s">
        <v>1310</v>
      </c>
      <c r="Q498" s="88">
        <v>2</v>
      </c>
      <c r="R498" s="66">
        <v>45485</v>
      </c>
      <c r="S498" s="54">
        <v>45496</v>
      </c>
      <c r="T498" s="45" t="s">
        <v>19</v>
      </c>
      <c r="U498" s="100">
        <v>2</v>
      </c>
      <c r="V498" s="108">
        <v>0</v>
      </c>
      <c r="W498" s="22" t="s">
        <v>40</v>
      </c>
      <c r="X498" s="22" t="str">
        <f t="shared" si="36"/>
        <v>D2IDW4-B-20.24</v>
      </c>
      <c r="Y498" s="22" t="s">
        <v>32</v>
      </c>
      <c r="Z498" s="78"/>
    </row>
    <row r="499" spans="1:26" s="70" customFormat="1" ht="24.95" customHeight="1">
      <c r="A499" s="80"/>
      <c r="B499" s="99">
        <v>45474</v>
      </c>
      <c r="C499" s="144" t="s">
        <v>51</v>
      </c>
      <c r="D499" s="59" t="s">
        <v>20</v>
      </c>
      <c r="E499" s="14" t="str">
        <f t="shared" si="41"/>
        <v>H4B</v>
      </c>
      <c r="F499" s="111" t="s">
        <v>435</v>
      </c>
      <c r="G499" s="3" t="s">
        <v>26</v>
      </c>
      <c r="H499" s="111">
        <v>0.27</v>
      </c>
      <c r="I499" s="22" t="s">
        <v>302</v>
      </c>
      <c r="J499" s="21" t="s">
        <v>1202</v>
      </c>
      <c r="K499" s="55"/>
      <c r="L499" s="125" t="s">
        <v>1311</v>
      </c>
      <c r="M499" s="96"/>
      <c r="N499" s="45" t="s">
        <v>1312</v>
      </c>
      <c r="O499" s="23" t="s">
        <v>30</v>
      </c>
      <c r="P499" s="23" t="s">
        <v>328</v>
      </c>
      <c r="Q499" s="88">
        <v>1</v>
      </c>
      <c r="R499" s="66">
        <v>45489</v>
      </c>
      <c r="S499" s="54">
        <v>45496</v>
      </c>
      <c r="T499" s="45" t="s">
        <v>19</v>
      </c>
      <c r="U499" s="100">
        <v>1</v>
      </c>
      <c r="V499" s="108">
        <v>0</v>
      </c>
      <c r="W499" s="22" t="s">
        <v>40</v>
      </c>
      <c r="X499" s="22" t="str">
        <f t="shared" si="36"/>
        <v>2DHWH0.27</v>
      </c>
      <c r="Y499" s="22" t="s">
        <v>32</v>
      </c>
      <c r="Z499" s="78"/>
    </row>
    <row r="500" spans="1:26" s="70" customFormat="1" ht="24.95" customHeight="1">
      <c r="A500" s="80"/>
      <c r="B500" s="99">
        <v>45474</v>
      </c>
      <c r="C500" s="144" t="s">
        <v>51</v>
      </c>
      <c r="D500" s="59" t="s">
        <v>20</v>
      </c>
      <c r="E500" s="14" t="str">
        <f t="shared" si="41"/>
        <v>H4B</v>
      </c>
      <c r="F500" s="111" t="s">
        <v>435</v>
      </c>
      <c r="G500" s="3" t="s">
        <v>26</v>
      </c>
      <c r="H500" s="111">
        <v>0.27</v>
      </c>
      <c r="I500" s="22" t="s">
        <v>302</v>
      </c>
      <c r="J500" s="21" t="s">
        <v>1202</v>
      </c>
      <c r="K500" s="55"/>
      <c r="L500" s="125" t="s">
        <v>1311</v>
      </c>
      <c r="M500" s="96"/>
      <c r="N500" s="45" t="s">
        <v>1313</v>
      </c>
      <c r="O500" s="23" t="s">
        <v>289</v>
      </c>
      <c r="P500" s="23" t="s">
        <v>328</v>
      </c>
      <c r="Q500" s="88">
        <v>4</v>
      </c>
      <c r="R500" s="66">
        <v>45489</v>
      </c>
      <c r="S500" s="54">
        <v>45496</v>
      </c>
      <c r="T500" s="45" t="s">
        <v>19</v>
      </c>
      <c r="U500" s="100">
        <v>4</v>
      </c>
      <c r="V500" s="108">
        <v>0</v>
      </c>
      <c r="W500" s="22" t="s">
        <v>40</v>
      </c>
      <c r="X500" s="22" t="str">
        <f t="shared" si="36"/>
        <v>2DHWH0.27</v>
      </c>
      <c r="Y500" s="22" t="s">
        <v>32</v>
      </c>
      <c r="Z500" s="78"/>
    </row>
    <row r="501" spans="1:26" s="70" customFormat="1" ht="24.95" customHeight="1">
      <c r="A501" s="80"/>
      <c r="B501" s="99">
        <v>45474</v>
      </c>
      <c r="C501" s="144" t="s">
        <v>51</v>
      </c>
      <c r="D501" s="59" t="s">
        <v>20</v>
      </c>
      <c r="E501" s="14" t="str">
        <f t="shared" si="41"/>
        <v>H2A</v>
      </c>
      <c r="F501" s="111" t="s">
        <v>52</v>
      </c>
      <c r="G501" s="3" t="s">
        <v>26</v>
      </c>
      <c r="H501" s="111">
        <v>0.24</v>
      </c>
      <c r="I501" s="22" t="s">
        <v>31</v>
      </c>
      <c r="J501" s="21" t="s">
        <v>221</v>
      </c>
      <c r="K501" s="55"/>
      <c r="L501" s="125" t="s">
        <v>1307</v>
      </c>
      <c r="M501" s="96"/>
      <c r="N501" s="45" t="s">
        <v>1314</v>
      </c>
      <c r="O501" s="23" t="s">
        <v>30</v>
      </c>
      <c r="P501" s="23" t="s">
        <v>328</v>
      </c>
      <c r="Q501" s="88">
        <v>1</v>
      </c>
      <c r="R501" s="66">
        <v>45486</v>
      </c>
      <c r="S501" s="54">
        <v>45496</v>
      </c>
      <c r="T501" s="45" t="s">
        <v>19</v>
      </c>
      <c r="U501" s="100">
        <v>1</v>
      </c>
      <c r="V501" s="108">
        <v>0</v>
      </c>
      <c r="W501" s="22" t="s">
        <v>40</v>
      </c>
      <c r="X501" s="22" t="str">
        <f t="shared" si="36"/>
        <v>D2IDW4-B-20.24</v>
      </c>
      <c r="Y501" s="22" t="s">
        <v>32</v>
      </c>
      <c r="Z501" s="78"/>
    </row>
    <row r="502" spans="1:26" s="70" customFormat="1" ht="24.95" customHeight="1">
      <c r="A502" s="80"/>
      <c r="B502" s="99">
        <v>45474</v>
      </c>
      <c r="C502" s="144" t="s">
        <v>51</v>
      </c>
      <c r="D502" s="59" t="s">
        <v>20</v>
      </c>
      <c r="E502" s="14" t="str">
        <f t="shared" si="41"/>
        <v>H2A</v>
      </c>
      <c r="F502" s="111" t="s">
        <v>52</v>
      </c>
      <c r="G502" s="3" t="s">
        <v>26</v>
      </c>
      <c r="H502" s="111">
        <v>0.27</v>
      </c>
      <c r="I502" s="22" t="s">
        <v>31</v>
      </c>
      <c r="J502" s="21" t="s">
        <v>221</v>
      </c>
      <c r="K502" s="55"/>
      <c r="L502" s="125" t="s">
        <v>225</v>
      </c>
      <c r="M502" s="96"/>
      <c r="N502" s="45" t="s">
        <v>1315</v>
      </c>
      <c r="O502" s="23" t="s">
        <v>30</v>
      </c>
      <c r="P502" s="23" t="s">
        <v>256</v>
      </c>
      <c r="Q502" s="88">
        <v>1</v>
      </c>
      <c r="R502" s="66">
        <v>45491</v>
      </c>
      <c r="S502" s="54">
        <v>45495</v>
      </c>
      <c r="T502" s="45" t="s">
        <v>19</v>
      </c>
      <c r="U502" s="100">
        <v>1</v>
      </c>
      <c r="V502" s="108">
        <v>0</v>
      </c>
      <c r="W502" s="22" t="s">
        <v>40</v>
      </c>
      <c r="X502" s="22" t="str">
        <f t="shared" si="36"/>
        <v>D2IDW4-B-20.27</v>
      </c>
      <c r="Y502" s="22" t="s">
        <v>32</v>
      </c>
      <c r="Z502" s="78"/>
    </row>
    <row r="503" spans="1:26" s="70" customFormat="1" ht="24.95" customHeight="1">
      <c r="A503" s="80"/>
      <c r="B503" s="99">
        <v>45474</v>
      </c>
      <c r="C503" s="144" t="s">
        <v>51</v>
      </c>
      <c r="D503" s="59" t="s">
        <v>20</v>
      </c>
      <c r="E503" s="14" t="str">
        <f t="shared" si="41"/>
        <v>H2A</v>
      </c>
      <c r="F503" s="111" t="s">
        <v>52</v>
      </c>
      <c r="G503" s="3" t="s">
        <v>26</v>
      </c>
      <c r="H503" s="111">
        <v>0.27</v>
      </c>
      <c r="I503" s="22" t="s">
        <v>31</v>
      </c>
      <c r="J503" s="21" t="s">
        <v>221</v>
      </c>
      <c r="K503" s="55"/>
      <c r="L503" s="125" t="s">
        <v>1316</v>
      </c>
      <c r="M503" s="96"/>
      <c r="N503" s="45" t="s">
        <v>1317</v>
      </c>
      <c r="O503" s="23" t="s">
        <v>30</v>
      </c>
      <c r="P503" s="23" t="s">
        <v>250</v>
      </c>
      <c r="Q503" s="88">
        <v>1</v>
      </c>
      <c r="R503" s="66">
        <v>45490</v>
      </c>
      <c r="S503" s="54">
        <v>45495</v>
      </c>
      <c r="T503" s="45" t="s">
        <v>19</v>
      </c>
      <c r="U503" s="100">
        <v>1</v>
      </c>
      <c r="V503" s="108">
        <v>0</v>
      </c>
      <c r="W503" s="22" t="s">
        <v>40</v>
      </c>
      <c r="X503" s="22" t="str">
        <f t="shared" si="36"/>
        <v>D2IDW4-B-20.27</v>
      </c>
      <c r="Y503" s="22" t="s">
        <v>32</v>
      </c>
      <c r="Z503" s="78"/>
    </row>
    <row r="504" spans="1:26" s="70" customFormat="1" ht="24.95" customHeight="1">
      <c r="A504" s="80"/>
      <c r="B504" s="99">
        <v>45474</v>
      </c>
      <c r="C504" s="144" t="s">
        <v>51</v>
      </c>
      <c r="D504" s="59" t="s">
        <v>20</v>
      </c>
      <c r="E504" s="14" t="str">
        <f t="shared" si="41"/>
        <v>H2A</v>
      </c>
      <c r="F504" s="111" t="s">
        <v>52</v>
      </c>
      <c r="G504" s="3" t="s">
        <v>26</v>
      </c>
      <c r="H504" s="111">
        <v>0.27</v>
      </c>
      <c r="I504" s="22" t="s">
        <v>31</v>
      </c>
      <c r="J504" s="21" t="s">
        <v>53</v>
      </c>
      <c r="K504" s="55"/>
      <c r="L504" s="125" t="s">
        <v>1156</v>
      </c>
      <c r="M504" s="96"/>
      <c r="N504" s="45" t="s">
        <v>1376</v>
      </c>
      <c r="O504" s="23" t="s">
        <v>30</v>
      </c>
      <c r="P504" s="23" t="s">
        <v>256</v>
      </c>
      <c r="Q504" s="88">
        <v>1</v>
      </c>
      <c r="R504" s="66">
        <v>45493</v>
      </c>
      <c r="S504" s="54">
        <v>45502</v>
      </c>
      <c r="T504" s="45" t="s">
        <v>19</v>
      </c>
      <c r="U504" s="100">
        <v>1</v>
      </c>
      <c r="V504" s="108">
        <v>0</v>
      </c>
      <c r="W504" s="22" t="s">
        <v>40</v>
      </c>
      <c r="X504" s="22" t="str">
        <f t="shared" si="36"/>
        <v>D2IDW4-B-20.27</v>
      </c>
      <c r="Y504" s="22" t="s">
        <v>32</v>
      </c>
      <c r="Z504" s="78"/>
    </row>
    <row r="505" spans="1:26" s="70" customFormat="1" ht="24.95" customHeight="1">
      <c r="A505" s="80"/>
      <c r="B505" s="99">
        <v>45474</v>
      </c>
      <c r="C505" s="144" t="s">
        <v>51</v>
      </c>
      <c r="D505" s="59" t="s">
        <v>20</v>
      </c>
      <c r="E505" s="14" t="str">
        <f t="shared" si="41"/>
        <v>H76</v>
      </c>
      <c r="F505" s="111" t="s">
        <v>301</v>
      </c>
      <c r="G505" s="3" t="s">
        <v>26</v>
      </c>
      <c r="H505" s="111">
        <v>0.14000000000000001</v>
      </c>
      <c r="I505" s="22" t="s">
        <v>302</v>
      </c>
      <c r="J505" s="21" t="s">
        <v>1259</v>
      </c>
      <c r="K505" s="21" t="s">
        <v>1259</v>
      </c>
      <c r="L505" s="125" t="s">
        <v>1377</v>
      </c>
      <c r="M505" s="96"/>
      <c r="N505" s="45" t="s">
        <v>1378</v>
      </c>
      <c r="O505" s="23" t="s">
        <v>29</v>
      </c>
      <c r="P505" s="23" t="s">
        <v>1379</v>
      </c>
      <c r="Q505" s="88">
        <v>1</v>
      </c>
      <c r="R505" s="66">
        <v>45497</v>
      </c>
      <c r="S505" s="54">
        <v>45502</v>
      </c>
      <c r="T505" s="45" t="s">
        <v>19</v>
      </c>
      <c r="U505" s="100">
        <v>1</v>
      </c>
      <c r="V505" s="108">
        <v>0</v>
      </c>
      <c r="W505" s="22" t="s">
        <v>40</v>
      </c>
      <c r="X505" s="22" t="str">
        <f t="shared" si="36"/>
        <v>2-AIW0.14</v>
      </c>
      <c r="Y505" s="22" t="s">
        <v>32</v>
      </c>
      <c r="Z505" s="78"/>
    </row>
    <row r="506" spans="1:26" s="70" customFormat="1" ht="24.95" customHeight="1">
      <c r="A506" s="80"/>
      <c r="B506" s="99">
        <v>45474</v>
      </c>
      <c r="C506" s="144" t="s">
        <v>51</v>
      </c>
      <c r="D506" s="59" t="s">
        <v>20</v>
      </c>
      <c r="E506" s="14" t="str">
        <f t="shared" si="41"/>
        <v>H2B</v>
      </c>
      <c r="F506" s="111" t="s">
        <v>482</v>
      </c>
      <c r="G506" s="3" t="s">
        <v>26</v>
      </c>
      <c r="H506" s="111">
        <v>0.37</v>
      </c>
      <c r="I506" s="22" t="s">
        <v>487</v>
      </c>
      <c r="J506" s="21" t="s">
        <v>287</v>
      </c>
      <c r="K506" s="55"/>
      <c r="L506" s="125"/>
      <c r="M506" s="96"/>
      <c r="N506" s="45" t="s">
        <v>1380</v>
      </c>
      <c r="O506" s="23" t="s">
        <v>30</v>
      </c>
      <c r="P506" s="23" t="s">
        <v>328</v>
      </c>
      <c r="Q506" s="88">
        <v>1</v>
      </c>
      <c r="R506" s="66">
        <v>45496</v>
      </c>
      <c r="S506" s="54">
        <v>45502</v>
      </c>
      <c r="T506" s="45" t="s">
        <v>19</v>
      </c>
      <c r="U506" s="100">
        <v>1</v>
      </c>
      <c r="V506" s="108">
        <v>0</v>
      </c>
      <c r="W506" s="22" t="s">
        <v>40</v>
      </c>
      <c r="X506" s="22" t="str">
        <f t="shared" si="36"/>
        <v>2AIW0.37</v>
      </c>
      <c r="Y506" s="22" t="s">
        <v>32</v>
      </c>
      <c r="Z506" s="78"/>
    </row>
    <row r="507" spans="1:26" s="70" customFormat="1" ht="24.95" customHeight="1">
      <c r="A507" s="80"/>
      <c r="B507" s="99">
        <v>45474</v>
      </c>
      <c r="C507" s="144" t="s">
        <v>51</v>
      </c>
      <c r="D507" s="59" t="s">
        <v>20</v>
      </c>
      <c r="E507" s="14" t="str">
        <f t="shared" si="41"/>
        <v>H2A</v>
      </c>
      <c r="F507" s="111" t="s">
        <v>52</v>
      </c>
      <c r="G507" s="3" t="s">
        <v>26</v>
      </c>
      <c r="H507" s="111">
        <v>0.27</v>
      </c>
      <c r="I507" s="22" t="s">
        <v>31</v>
      </c>
      <c r="J507" s="21" t="s">
        <v>1381</v>
      </c>
      <c r="K507" s="21" t="s">
        <v>1381</v>
      </c>
      <c r="L507" s="125" t="s">
        <v>1382</v>
      </c>
      <c r="M507" s="96"/>
      <c r="N507" s="45" t="s">
        <v>1383</v>
      </c>
      <c r="O507" s="23" t="s">
        <v>29</v>
      </c>
      <c r="P507" s="23" t="s">
        <v>250</v>
      </c>
      <c r="Q507" s="88">
        <v>1</v>
      </c>
      <c r="R507" s="66">
        <v>45494</v>
      </c>
      <c r="S507" s="54">
        <v>45502</v>
      </c>
      <c r="T507" s="45" t="s">
        <v>19</v>
      </c>
      <c r="U507" s="100">
        <v>1</v>
      </c>
      <c r="V507" s="108">
        <v>0</v>
      </c>
      <c r="W507" s="22" t="s">
        <v>40</v>
      </c>
      <c r="X507" s="22" t="str">
        <f t="shared" si="36"/>
        <v>D2IDW4-B-20.27</v>
      </c>
      <c r="Y507" s="22" t="s">
        <v>32</v>
      </c>
      <c r="Z507" s="78"/>
    </row>
    <row r="508" spans="1:26" s="70" customFormat="1" ht="24.95" customHeight="1">
      <c r="A508" s="80"/>
      <c r="B508" s="99">
        <v>45474</v>
      </c>
      <c r="C508" s="144" t="s">
        <v>51</v>
      </c>
      <c r="D508" s="59" t="s">
        <v>20</v>
      </c>
      <c r="E508" s="14" t="str">
        <f t="shared" si="41"/>
        <v>H2B</v>
      </c>
      <c r="F508" s="111" t="s">
        <v>482</v>
      </c>
      <c r="G508" s="3" t="s">
        <v>26</v>
      </c>
      <c r="H508" s="111">
        <v>0.37</v>
      </c>
      <c r="I508" s="22" t="s">
        <v>487</v>
      </c>
      <c r="J508" s="21" t="s">
        <v>1384</v>
      </c>
      <c r="K508" s="21" t="s">
        <v>1384</v>
      </c>
      <c r="L508" s="125" t="s">
        <v>1385</v>
      </c>
      <c r="M508" s="96"/>
      <c r="N508" s="45" t="s">
        <v>1386</v>
      </c>
      <c r="O508" s="23" t="s">
        <v>30</v>
      </c>
      <c r="P508" s="23" t="s">
        <v>812</v>
      </c>
      <c r="Q508" s="88">
        <v>1</v>
      </c>
      <c r="R508" s="66">
        <v>45492</v>
      </c>
      <c r="S508" s="54">
        <v>45502</v>
      </c>
      <c r="T508" s="45" t="s">
        <v>19</v>
      </c>
      <c r="U508" s="100">
        <v>1</v>
      </c>
      <c r="V508" s="108">
        <v>0</v>
      </c>
      <c r="W508" s="22" t="s">
        <v>40</v>
      </c>
      <c r="X508" s="22" t="str">
        <f t="shared" si="36"/>
        <v>2AIW0.37</v>
      </c>
      <c r="Y508" s="22" t="s">
        <v>32</v>
      </c>
      <c r="Z508" s="78"/>
    </row>
    <row r="509" spans="1:26" s="70" customFormat="1" ht="24.95" customHeight="1">
      <c r="A509" s="80"/>
      <c r="B509" s="99">
        <v>45474</v>
      </c>
      <c r="C509" s="144" t="s">
        <v>51</v>
      </c>
      <c r="D509" s="59" t="s">
        <v>20</v>
      </c>
      <c r="E509" s="14" t="str">
        <f t="shared" si="41"/>
        <v>H2A</v>
      </c>
      <c r="F509" s="111" t="s">
        <v>52</v>
      </c>
      <c r="G509" s="3" t="s">
        <v>26</v>
      </c>
      <c r="H509" s="111">
        <v>0.27</v>
      </c>
      <c r="I509" s="22" t="s">
        <v>31</v>
      </c>
      <c r="J509" s="21" t="s">
        <v>1202</v>
      </c>
      <c r="K509" s="55"/>
      <c r="L509" s="125" t="s">
        <v>208</v>
      </c>
      <c r="M509" s="96"/>
      <c r="N509" s="45" t="s">
        <v>1387</v>
      </c>
      <c r="O509" s="23" t="s">
        <v>29</v>
      </c>
      <c r="P509" s="23" t="s">
        <v>1388</v>
      </c>
      <c r="Q509" s="88">
        <v>3</v>
      </c>
      <c r="R509" s="66">
        <v>45495</v>
      </c>
      <c r="S509" s="54">
        <v>45502</v>
      </c>
      <c r="T509" s="45" t="s">
        <v>19</v>
      </c>
      <c r="U509" s="100">
        <v>3</v>
      </c>
      <c r="V509" s="108">
        <v>0</v>
      </c>
      <c r="W509" s="22" t="s">
        <v>40</v>
      </c>
      <c r="X509" s="22" t="str">
        <f t="shared" si="36"/>
        <v>D2IDW4-B-20.27</v>
      </c>
      <c r="Y509" s="22" t="s">
        <v>32</v>
      </c>
      <c r="Z509" s="78"/>
    </row>
    <row r="510" spans="1:26" s="70" customFormat="1" ht="24.95" customHeight="1">
      <c r="A510" s="80"/>
      <c r="B510" s="147">
        <v>45505</v>
      </c>
      <c r="C510" s="146" t="s">
        <v>35</v>
      </c>
      <c r="D510" s="59" t="s">
        <v>20</v>
      </c>
      <c r="E510" s="14" t="str">
        <f t="shared" ref="E510:E515" si="42">IF(B493="","",LEFT(N510,3))</f>
        <v>V6A</v>
      </c>
      <c r="F510" s="111" t="s">
        <v>186</v>
      </c>
      <c r="G510" s="15" t="s">
        <v>27</v>
      </c>
      <c r="H510" s="111">
        <v>1.18</v>
      </c>
      <c r="I510" s="22" t="s">
        <v>187</v>
      </c>
      <c r="J510" s="21" t="s">
        <v>951</v>
      </c>
      <c r="K510" s="21" t="s">
        <v>951</v>
      </c>
      <c r="L510" s="125" t="s">
        <v>60</v>
      </c>
      <c r="M510" s="96"/>
      <c r="N510" s="45" t="s">
        <v>1393</v>
      </c>
      <c r="O510" s="23" t="s">
        <v>39</v>
      </c>
      <c r="P510" s="23" t="s">
        <v>38</v>
      </c>
      <c r="Q510" s="88">
        <v>5</v>
      </c>
      <c r="R510" s="66">
        <v>45495</v>
      </c>
      <c r="S510" s="54">
        <v>45512</v>
      </c>
      <c r="T510" s="45" t="s">
        <v>19</v>
      </c>
      <c r="U510" s="100">
        <v>5</v>
      </c>
      <c r="V510" s="108">
        <v>0</v>
      </c>
      <c r="W510" s="22" t="s">
        <v>40</v>
      </c>
      <c r="X510" s="22" t="str">
        <f t="shared" ref="X510:X515" si="43">F510&amp;H510</f>
        <v>1HGZ-MA1.18</v>
      </c>
      <c r="Y510" s="22" t="s">
        <v>32</v>
      </c>
      <c r="Z510" s="78"/>
    </row>
    <row r="511" spans="1:26" s="70" customFormat="1" ht="24.95" customHeight="1">
      <c r="A511" s="80"/>
      <c r="B511" s="147">
        <v>45505</v>
      </c>
      <c r="C511" s="146" t="s">
        <v>35</v>
      </c>
      <c r="D511" s="59" t="s">
        <v>20</v>
      </c>
      <c r="E511" s="14" t="str">
        <f t="shared" si="42"/>
        <v>VOA</v>
      </c>
      <c r="F511" s="111" t="s">
        <v>259</v>
      </c>
      <c r="G511" s="15" t="s">
        <v>27</v>
      </c>
      <c r="H511" s="111">
        <v>0.6</v>
      </c>
      <c r="I511" s="22" t="s">
        <v>31</v>
      </c>
      <c r="J511" s="21" t="s">
        <v>1394</v>
      </c>
      <c r="K511" s="21" t="s">
        <v>1395</v>
      </c>
      <c r="L511" s="125" t="s">
        <v>1191</v>
      </c>
      <c r="M511" s="96"/>
      <c r="N511" s="45" t="s">
        <v>1396</v>
      </c>
      <c r="O511" s="23" t="s">
        <v>30</v>
      </c>
      <c r="P511" s="23" t="s">
        <v>328</v>
      </c>
      <c r="Q511" s="88">
        <v>1</v>
      </c>
      <c r="R511" s="66">
        <v>45508</v>
      </c>
      <c r="S511" s="54">
        <v>45511</v>
      </c>
      <c r="T511" s="45" t="s">
        <v>19</v>
      </c>
      <c r="U511" s="100">
        <v>1</v>
      </c>
      <c r="V511" s="108">
        <v>0</v>
      </c>
      <c r="W511" s="22" t="s">
        <v>40</v>
      </c>
      <c r="X511" s="22" t="str">
        <f t="shared" si="43"/>
        <v>D1-PEW-B-2T0.6</v>
      </c>
      <c r="Y511" s="22" t="s">
        <v>32</v>
      </c>
      <c r="Z511" s="78"/>
    </row>
    <row r="512" spans="1:26" s="70" customFormat="1" ht="24.95" customHeight="1">
      <c r="A512" s="80"/>
      <c r="B512" s="147">
        <v>45505</v>
      </c>
      <c r="C512" s="146" t="s">
        <v>35</v>
      </c>
      <c r="D512" s="59" t="s">
        <v>20</v>
      </c>
      <c r="E512" s="14" t="str">
        <f t="shared" si="42"/>
        <v>V8C</v>
      </c>
      <c r="F512" s="111" t="s">
        <v>24</v>
      </c>
      <c r="G512" s="3" t="s">
        <v>26</v>
      </c>
      <c r="H512" s="111">
        <v>0.7</v>
      </c>
      <c r="I512" s="22" t="s">
        <v>1397</v>
      </c>
      <c r="J512" s="21" t="s">
        <v>360</v>
      </c>
      <c r="K512" s="21"/>
      <c r="L512" s="125" t="s">
        <v>410</v>
      </c>
      <c r="M512" s="96"/>
      <c r="N512" s="45" t="s">
        <v>1398</v>
      </c>
      <c r="O512" s="23" t="s">
        <v>30</v>
      </c>
      <c r="P512" s="23" t="s">
        <v>542</v>
      </c>
      <c r="Q512" s="88">
        <v>3</v>
      </c>
      <c r="R512" s="66">
        <v>45511</v>
      </c>
      <c r="S512" s="54">
        <v>45512</v>
      </c>
      <c r="T512" s="45" t="s">
        <v>19</v>
      </c>
      <c r="U512" s="100">
        <v>3</v>
      </c>
      <c r="V512" s="108">
        <v>0</v>
      </c>
      <c r="W512" s="22" t="s">
        <v>40</v>
      </c>
      <c r="X512" s="22" t="str">
        <f t="shared" si="43"/>
        <v>2PEW0.7</v>
      </c>
      <c r="Y512" s="22" t="s">
        <v>32</v>
      </c>
      <c r="Z512" s="78"/>
    </row>
    <row r="513" spans="1:26" s="70" customFormat="1" ht="24.95" customHeight="1">
      <c r="A513" s="80"/>
      <c r="B513" s="147">
        <v>45505</v>
      </c>
      <c r="C513" s="146" t="s">
        <v>35</v>
      </c>
      <c r="D513" s="59" t="s">
        <v>20</v>
      </c>
      <c r="E513" s="14" t="str">
        <f t="shared" si="42"/>
        <v>V6A</v>
      </c>
      <c r="F513" s="111" t="s">
        <v>186</v>
      </c>
      <c r="G513" s="15" t="s">
        <v>27</v>
      </c>
      <c r="H513" s="111">
        <v>1.18</v>
      </c>
      <c r="I513" s="22" t="s">
        <v>187</v>
      </c>
      <c r="J513" s="21" t="s">
        <v>951</v>
      </c>
      <c r="K513" s="21" t="s">
        <v>951</v>
      </c>
      <c r="L513" s="125" t="s">
        <v>1399</v>
      </c>
      <c r="M513" s="96"/>
      <c r="N513" s="45" t="s">
        <v>1400</v>
      </c>
      <c r="O513" s="23" t="s">
        <v>30</v>
      </c>
      <c r="P513" s="23" t="s">
        <v>38</v>
      </c>
      <c r="Q513" s="88">
        <v>5</v>
      </c>
      <c r="R513" s="66">
        <v>45507</v>
      </c>
      <c r="S513" s="54">
        <v>45511</v>
      </c>
      <c r="T513" s="45" t="s">
        <v>19</v>
      </c>
      <c r="U513" s="100">
        <v>5</v>
      </c>
      <c r="V513" s="108">
        <v>0</v>
      </c>
      <c r="W513" s="22" t="s">
        <v>40</v>
      </c>
      <c r="X513" s="22" t="str">
        <f t="shared" si="43"/>
        <v>1HGZ-MA1.18</v>
      </c>
      <c r="Y513" s="22" t="s">
        <v>32</v>
      </c>
      <c r="Z513" s="78"/>
    </row>
    <row r="514" spans="1:26" s="70" customFormat="1" ht="24.95" customHeight="1">
      <c r="A514" s="80"/>
      <c r="B514" s="147">
        <v>45505</v>
      </c>
      <c r="C514" s="146" t="s">
        <v>35</v>
      </c>
      <c r="D514" s="59" t="s">
        <v>20</v>
      </c>
      <c r="E514" s="14" t="str">
        <f t="shared" si="42"/>
        <v>V6A</v>
      </c>
      <c r="F514" s="111" t="s">
        <v>186</v>
      </c>
      <c r="G514" s="15" t="s">
        <v>27</v>
      </c>
      <c r="H514" s="111">
        <v>1.18</v>
      </c>
      <c r="I514" s="22" t="s">
        <v>187</v>
      </c>
      <c r="J514" s="21" t="s">
        <v>951</v>
      </c>
      <c r="K514" s="21" t="s">
        <v>951</v>
      </c>
      <c r="L514" s="125" t="s">
        <v>60</v>
      </c>
      <c r="M514" s="96"/>
      <c r="N514" s="45" t="s">
        <v>1401</v>
      </c>
      <c r="O514" s="23" t="s">
        <v>193</v>
      </c>
      <c r="P514" s="23" t="s">
        <v>38</v>
      </c>
      <c r="Q514" s="88">
        <v>10</v>
      </c>
      <c r="R514" s="66">
        <v>45509</v>
      </c>
      <c r="S514" s="54">
        <v>45511</v>
      </c>
      <c r="T514" s="45" t="s">
        <v>19</v>
      </c>
      <c r="U514" s="100">
        <v>10</v>
      </c>
      <c r="V514" s="108">
        <v>0</v>
      </c>
      <c r="W514" s="22" t="s">
        <v>40</v>
      </c>
      <c r="X514" s="22" t="str">
        <f t="shared" si="43"/>
        <v>1HGZ-MA1.18</v>
      </c>
      <c r="Y514" s="22" t="s">
        <v>32</v>
      </c>
      <c r="Z514" s="78"/>
    </row>
    <row r="515" spans="1:26" s="70" customFormat="1" ht="24.95" customHeight="1">
      <c r="A515" s="80"/>
      <c r="B515" s="147">
        <v>45505</v>
      </c>
      <c r="C515" s="146" t="s">
        <v>35</v>
      </c>
      <c r="D515" s="59" t="s">
        <v>20</v>
      </c>
      <c r="E515" s="14" t="str">
        <f t="shared" si="42"/>
        <v>V6A</v>
      </c>
      <c r="F515" s="111" t="s">
        <v>186</v>
      </c>
      <c r="G515" s="15" t="s">
        <v>27</v>
      </c>
      <c r="H515" s="111">
        <v>1.18</v>
      </c>
      <c r="I515" s="22" t="s">
        <v>187</v>
      </c>
      <c r="J515" s="21" t="s">
        <v>951</v>
      </c>
      <c r="K515" s="21" t="s">
        <v>951</v>
      </c>
      <c r="L515" s="125" t="s">
        <v>60</v>
      </c>
      <c r="M515" s="96"/>
      <c r="N515" s="45" t="s">
        <v>1402</v>
      </c>
      <c r="O515" s="23" t="s">
        <v>1403</v>
      </c>
      <c r="P515" s="23" t="s">
        <v>1404</v>
      </c>
      <c r="Q515" s="88">
        <v>15</v>
      </c>
      <c r="R515" s="66">
        <v>45510</v>
      </c>
      <c r="S515" s="54">
        <v>45511</v>
      </c>
      <c r="T515" s="45" t="s">
        <v>19</v>
      </c>
      <c r="U515" s="100">
        <v>15</v>
      </c>
      <c r="V515" s="108">
        <v>0</v>
      </c>
      <c r="W515" s="22" t="s">
        <v>40</v>
      </c>
      <c r="X515" s="22" t="str">
        <f t="shared" si="43"/>
        <v>1HGZ-MA1.18</v>
      </c>
      <c r="Y515" s="22" t="s">
        <v>32</v>
      </c>
      <c r="Z515" s="78"/>
    </row>
    <row r="516" spans="1:26" s="70" customFormat="1" ht="24.95" customHeight="1">
      <c r="A516" s="80"/>
      <c r="B516" s="147">
        <v>45505</v>
      </c>
      <c r="C516" s="146" t="s">
        <v>35</v>
      </c>
      <c r="D516" s="59" t="s">
        <v>20</v>
      </c>
      <c r="E516" s="14" t="str">
        <f t="shared" ref="E516:E558" si="44">IF(B499="","",LEFT(N516,3))</f>
        <v>V6A</v>
      </c>
      <c r="F516" s="111" t="s">
        <v>186</v>
      </c>
      <c r="G516" s="15" t="s">
        <v>27</v>
      </c>
      <c r="H516" s="111">
        <v>1.18</v>
      </c>
      <c r="I516" s="22" t="s">
        <v>187</v>
      </c>
      <c r="J516" s="21" t="s">
        <v>951</v>
      </c>
      <c r="K516" s="21" t="s">
        <v>951</v>
      </c>
      <c r="L516" s="125" t="s">
        <v>60</v>
      </c>
      <c r="M516" s="96"/>
      <c r="N516" s="45" t="s">
        <v>1405</v>
      </c>
      <c r="O516" s="23" t="s">
        <v>242</v>
      </c>
      <c r="P516" s="23" t="s">
        <v>38</v>
      </c>
      <c r="Q516" s="88">
        <v>10</v>
      </c>
      <c r="R516" s="66">
        <v>45514</v>
      </c>
      <c r="S516" s="54">
        <v>45516</v>
      </c>
      <c r="T516" s="45" t="s">
        <v>19</v>
      </c>
      <c r="U516" s="100">
        <v>10</v>
      </c>
      <c r="V516" s="108">
        <v>0</v>
      </c>
      <c r="W516" s="22" t="s">
        <v>40</v>
      </c>
      <c r="X516" s="22" t="str">
        <f t="shared" ref="X516:X580" si="45">F516&amp;H516</f>
        <v>1HGZ-MA1.18</v>
      </c>
      <c r="Y516" s="22" t="s">
        <v>32</v>
      </c>
      <c r="Z516" s="78"/>
    </row>
    <row r="517" spans="1:26" s="70" customFormat="1" ht="24.95" customHeight="1">
      <c r="A517" s="80"/>
      <c r="B517" s="147">
        <v>45505</v>
      </c>
      <c r="C517" s="146" t="s">
        <v>35</v>
      </c>
      <c r="D517" s="59" t="s">
        <v>20</v>
      </c>
      <c r="E517" s="14" t="str">
        <f t="shared" si="44"/>
        <v>V6A</v>
      </c>
      <c r="F517" s="111" t="s">
        <v>186</v>
      </c>
      <c r="G517" s="15" t="s">
        <v>27</v>
      </c>
      <c r="H517" s="111">
        <v>1.18</v>
      </c>
      <c r="I517" s="22" t="s">
        <v>187</v>
      </c>
      <c r="J517" s="21" t="s">
        <v>951</v>
      </c>
      <c r="K517" s="21" t="s">
        <v>1406</v>
      </c>
      <c r="L517" s="125" t="s">
        <v>60</v>
      </c>
      <c r="M517" s="96"/>
      <c r="N517" s="45" t="s">
        <v>1407</v>
      </c>
      <c r="O517" s="23" t="s">
        <v>263</v>
      </c>
      <c r="P517" s="23" t="s">
        <v>38</v>
      </c>
      <c r="Q517" s="88">
        <v>5</v>
      </c>
      <c r="R517" s="66">
        <v>45517</v>
      </c>
      <c r="S517" s="54">
        <v>45518</v>
      </c>
      <c r="T517" s="45" t="s">
        <v>19</v>
      </c>
      <c r="U517" s="100">
        <v>5</v>
      </c>
      <c r="V517" s="108">
        <v>0</v>
      </c>
      <c r="W517" s="22" t="s">
        <v>40</v>
      </c>
      <c r="X517" s="22" t="str">
        <f t="shared" si="45"/>
        <v>1HGZ-MA1.18</v>
      </c>
      <c r="Y517" s="22" t="s">
        <v>32</v>
      </c>
      <c r="Z517" s="78"/>
    </row>
    <row r="518" spans="1:26" s="70" customFormat="1" ht="24.95" customHeight="1">
      <c r="A518" s="80"/>
      <c r="B518" s="147">
        <v>45505</v>
      </c>
      <c r="C518" s="146" t="s">
        <v>35</v>
      </c>
      <c r="D518" s="59" t="s">
        <v>20</v>
      </c>
      <c r="E518" s="14" t="str">
        <f t="shared" si="44"/>
        <v>V6A</v>
      </c>
      <c r="F518" s="111" t="s">
        <v>186</v>
      </c>
      <c r="G518" s="15" t="s">
        <v>27</v>
      </c>
      <c r="H518" s="111">
        <v>1.18</v>
      </c>
      <c r="I518" s="22" t="s">
        <v>187</v>
      </c>
      <c r="J518" s="21" t="s">
        <v>951</v>
      </c>
      <c r="K518" s="21" t="s">
        <v>1408</v>
      </c>
      <c r="L518" s="125" t="s">
        <v>60</v>
      </c>
      <c r="M518" s="96"/>
      <c r="N518" s="45" t="s">
        <v>1409</v>
      </c>
      <c r="O518" s="23" t="s">
        <v>30</v>
      </c>
      <c r="P518" s="23" t="s">
        <v>38</v>
      </c>
      <c r="Q518" s="88">
        <v>5</v>
      </c>
      <c r="R518" s="66">
        <v>45517</v>
      </c>
      <c r="S518" s="54">
        <v>45518</v>
      </c>
      <c r="T518" s="45" t="s">
        <v>19</v>
      </c>
      <c r="U518" s="100">
        <v>5</v>
      </c>
      <c r="V518" s="108">
        <v>0</v>
      </c>
      <c r="W518" s="22" t="s">
        <v>40</v>
      </c>
      <c r="X518" s="22" t="str">
        <f t="shared" si="45"/>
        <v>1HGZ-MA1.18</v>
      </c>
      <c r="Y518" s="22" t="s">
        <v>32</v>
      </c>
      <c r="Z518" s="78"/>
    </row>
    <row r="519" spans="1:26" s="70" customFormat="1" ht="24.95" customHeight="1">
      <c r="A519" s="80"/>
      <c r="B519" s="147">
        <v>45505</v>
      </c>
      <c r="C519" s="146" t="s">
        <v>35</v>
      </c>
      <c r="D519" s="59" t="s">
        <v>20</v>
      </c>
      <c r="E519" s="14" t="str">
        <f t="shared" si="44"/>
        <v>12A</v>
      </c>
      <c r="F519" s="111" t="s">
        <v>165</v>
      </c>
      <c r="G519" s="15" t="s">
        <v>27</v>
      </c>
      <c r="H519" s="111">
        <v>1.81</v>
      </c>
      <c r="I519" s="22" t="s">
        <v>1397</v>
      </c>
      <c r="J519" s="21" t="s">
        <v>1410</v>
      </c>
      <c r="K519" s="21" t="s">
        <v>1411</v>
      </c>
      <c r="L519" s="125" t="s">
        <v>1412</v>
      </c>
      <c r="M519" s="96"/>
      <c r="N519" s="45" t="s">
        <v>1413</v>
      </c>
      <c r="O519" s="23" t="s">
        <v>29</v>
      </c>
      <c r="P519" s="23" t="s">
        <v>1414</v>
      </c>
      <c r="Q519" s="88">
        <v>3</v>
      </c>
      <c r="R519" s="66">
        <v>45517</v>
      </c>
      <c r="S519" s="54">
        <v>45519</v>
      </c>
      <c r="T519" s="45" t="s">
        <v>19</v>
      </c>
      <c r="U519" s="100">
        <v>3</v>
      </c>
      <c r="V519" s="108">
        <v>0</v>
      </c>
      <c r="W519" s="22" t="s">
        <v>40</v>
      </c>
      <c r="X519" s="22" t="str">
        <f t="shared" si="45"/>
        <v>2EIWAD-O1.81</v>
      </c>
      <c r="Y519" s="22" t="s">
        <v>32</v>
      </c>
      <c r="Z519" s="78"/>
    </row>
    <row r="520" spans="1:26" s="70" customFormat="1" ht="24.95" customHeight="1">
      <c r="A520" s="80"/>
      <c r="B520" s="147">
        <v>45505</v>
      </c>
      <c r="C520" s="146" t="s">
        <v>35</v>
      </c>
      <c r="D520" s="59" t="s">
        <v>20</v>
      </c>
      <c r="E520" s="14" t="str">
        <f t="shared" si="44"/>
        <v>11A</v>
      </c>
      <c r="F520" s="111" t="s">
        <v>24</v>
      </c>
      <c r="G520" s="15" t="s">
        <v>27</v>
      </c>
      <c r="H520" s="111">
        <v>0.82</v>
      </c>
      <c r="I520" s="22" t="s">
        <v>1397</v>
      </c>
      <c r="J520" s="21" t="s">
        <v>1415</v>
      </c>
      <c r="K520" s="21" t="s">
        <v>1416</v>
      </c>
      <c r="L520" s="125" t="s">
        <v>1212</v>
      </c>
      <c r="M520" s="96"/>
      <c r="N520" s="45" t="s">
        <v>1418</v>
      </c>
      <c r="O520" s="23" t="s">
        <v>29</v>
      </c>
      <c r="P520" s="23" t="s">
        <v>1417</v>
      </c>
      <c r="Q520" s="88">
        <v>2</v>
      </c>
      <c r="R520" s="66">
        <v>45515</v>
      </c>
      <c r="S520" s="54">
        <v>45519</v>
      </c>
      <c r="T520" s="45" t="s">
        <v>19</v>
      </c>
      <c r="U520" s="100">
        <v>2</v>
      </c>
      <c r="V520" s="108">
        <v>0</v>
      </c>
      <c r="W520" s="22" t="s">
        <v>40</v>
      </c>
      <c r="X520" s="22" t="str">
        <f t="shared" si="45"/>
        <v>2PEW0.82</v>
      </c>
      <c r="Y520" s="22" t="s">
        <v>32</v>
      </c>
      <c r="Z520" s="78"/>
    </row>
    <row r="521" spans="1:26" s="70" customFormat="1" ht="24.95" customHeight="1">
      <c r="A521" s="80"/>
      <c r="B521" s="147">
        <v>45505</v>
      </c>
      <c r="C521" s="146" t="s">
        <v>35</v>
      </c>
      <c r="D521" s="59" t="s">
        <v>20</v>
      </c>
      <c r="E521" s="14" t="str">
        <f t="shared" si="44"/>
        <v>11A</v>
      </c>
      <c r="F521" s="111" t="s">
        <v>251</v>
      </c>
      <c r="G521" s="15" t="s">
        <v>27</v>
      </c>
      <c r="H521" s="111">
        <v>0.83</v>
      </c>
      <c r="I521" s="22" t="s">
        <v>252</v>
      </c>
      <c r="J521" s="21" t="s">
        <v>1415</v>
      </c>
      <c r="K521" s="21" t="s">
        <v>1416</v>
      </c>
      <c r="L521" s="125"/>
      <c r="M521" s="96"/>
      <c r="N521" s="45" t="s">
        <v>1418</v>
      </c>
      <c r="O521" s="23" t="s">
        <v>30</v>
      </c>
      <c r="P521" s="23" t="s">
        <v>38</v>
      </c>
      <c r="Q521" s="88">
        <v>5</v>
      </c>
      <c r="R521" s="66">
        <v>45515</v>
      </c>
      <c r="S521" s="54">
        <v>45519</v>
      </c>
      <c r="T521" s="45" t="s">
        <v>19</v>
      </c>
      <c r="U521" s="100">
        <v>5</v>
      </c>
      <c r="V521" s="108">
        <v>0</v>
      </c>
      <c r="W521" s="22" t="s">
        <v>40</v>
      </c>
      <c r="X521" s="22" t="str">
        <f t="shared" si="45"/>
        <v>D2-IDW-4E0.83</v>
      </c>
      <c r="Y521" s="22" t="s">
        <v>32</v>
      </c>
      <c r="Z521" s="78"/>
    </row>
    <row r="522" spans="1:26" s="70" customFormat="1" ht="24.95" customHeight="1">
      <c r="A522" s="80"/>
      <c r="B522" s="147">
        <v>45505</v>
      </c>
      <c r="C522" s="146" t="s">
        <v>35</v>
      </c>
      <c r="D522" s="59" t="s">
        <v>20</v>
      </c>
      <c r="E522" s="14" t="str">
        <f t="shared" si="44"/>
        <v>V6A</v>
      </c>
      <c r="F522" s="111" t="s">
        <v>186</v>
      </c>
      <c r="G522" s="15" t="s">
        <v>27</v>
      </c>
      <c r="H522" s="111">
        <v>1.18</v>
      </c>
      <c r="I522" s="22" t="s">
        <v>187</v>
      </c>
      <c r="J522" s="21" t="s">
        <v>839</v>
      </c>
      <c r="K522" s="21" t="s">
        <v>839</v>
      </c>
      <c r="L522" s="125" t="s">
        <v>1419</v>
      </c>
      <c r="M522" s="96"/>
      <c r="N522" s="45" t="s">
        <v>1401</v>
      </c>
      <c r="O522" s="23" t="s">
        <v>30</v>
      </c>
      <c r="P522" s="23" t="s">
        <v>38</v>
      </c>
      <c r="Q522" s="88">
        <v>5</v>
      </c>
      <c r="R522" s="66">
        <v>45509</v>
      </c>
      <c r="S522" s="54">
        <v>45519</v>
      </c>
      <c r="T522" s="45" t="s">
        <v>19</v>
      </c>
      <c r="U522" s="100">
        <v>5</v>
      </c>
      <c r="V522" s="108">
        <v>0</v>
      </c>
      <c r="W522" s="22" t="s">
        <v>40</v>
      </c>
      <c r="X522" s="22" t="str">
        <f t="shared" si="45"/>
        <v>1HGZ-MA1.18</v>
      </c>
      <c r="Y522" s="22" t="s">
        <v>32</v>
      </c>
      <c r="Z522" s="78"/>
    </row>
    <row r="523" spans="1:26" s="70" customFormat="1" ht="24.95" customHeight="1">
      <c r="A523" s="80"/>
      <c r="B523" s="147">
        <v>45505</v>
      </c>
      <c r="C523" s="146" t="s">
        <v>35</v>
      </c>
      <c r="D523" s="59" t="s">
        <v>20</v>
      </c>
      <c r="E523" s="14" t="str">
        <f t="shared" si="44"/>
        <v>V9A</v>
      </c>
      <c r="F523" s="111" t="s">
        <v>637</v>
      </c>
      <c r="G523" s="15" t="s">
        <v>27</v>
      </c>
      <c r="H523" s="111">
        <v>1.1000000000000001</v>
      </c>
      <c r="I523" s="22" t="s">
        <v>268</v>
      </c>
      <c r="J523" s="21" t="s">
        <v>1420</v>
      </c>
      <c r="K523" s="21" t="s">
        <v>1421</v>
      </c>
      <c r="L523" s="125" t="s">
        <v>1422</v>
      </c>
      <c r="M523" s="96"/>
      <c r="N523" s="45" t="s">
        <v>1423</v>
      </c>
      <c r="O523" s="23" t="s">
        <v>263</v>
      </c>
      <c r="P523" s="23" t="s">
        <v>38</v>
      </c>
      <c r="Q523" s="88">
        <v>5</v>
      </c>
      <c r="R523" s="66">
        <v>45509</v>
      </c>
      <c r="S523" s="54">
        <v>45519</v>
      </c>
      <c r="T523" s="45" t="s">
        <v>19</v>
      </c>
      <c r="U523" s="100">
        <v>5</v>
      </c>
      <c r="V523" s="108">
        <v>0</v>
      </c>
      <c r="W523" s="22" t="s">
        <v>40</v>
      </c>
      <c r="X523" s="22" t="str">
        <f t="shared" si="45"/>
        <v>0FBWCC1.1</v>
      </c>
      <c r="Y523" s="22" t="s">
        <v>32</v>
      </c>
      <c r="Z523" s="78"/>
    </row>
    <row r="524" spans="1:26" s="70" customFormat="1" ht="24.95" customHeight="1">
      <c r="A524" s="80"/>
      <c r="B524" s="147">
        <v>45505</v>
      </c>
      <c r="C524" s="146" t="s">
        <v>35</v>
      </c>
      <c r="D524" s="59" t="s">
        <v>20</v>
      </c>
      <c r="E524" s="14" t="str">
        <f t="shared" si="44"/>
        <v>VOA</v>
      </c>
      <c r="F524" s="111" t="s">
        <v>259</v>
      </c>
      <c r="G524" s="15" t="s">
        <v>27</v>
      </c>
      <c r="H524" s="111">
        <v>0.6</v>
      </c>
      <c r="I524" s="22" t="s">
        <v>31</v>
      </c>
      <c r="J524" s="21" t="s">
        <v>1424</v>
      </c>
      <c r="K524" s="21" t="s">
        <v>1424</v>
      </c>
      <c r="L524" s="125" t="s">
        <v>1425</v>
      </c>
      <c r="M524" s="96"/>
      <c r="N524" s="45" t="s">
        <v>1396</v>
      </c>
      <c r="O524" s="23" t="s">
        <v>263</v>
      </c>
      <c r="P524" s="23" t="s">
        <v>38</v>
      </c>
      <c r="Q524" s="88">
        <v>5</v>
      </c>
      <c r="R524" s="66">
        <v>45509</v>
      </c>
      <c r="S524" s="54">
        <v>45519</v>
      </c>
      <c r="T524" s="45" t="s">
        <v>19</v>
      </c>
      <c r="U524" s="100">
        <v>5</v>
      </c>
      <c r="V524" s="108">
        <v>0</v>
      </c>
      <c r="W524" s="22" t="s">
        <v>40</v>
      </c>
      <c r="X524" s="22" t="str">
        <f t="shared" si="45"/>
        <v>D1-PEW-B-2T0.6</v>
      </c>
      <c r="Y524" s="22" t="s">
        <v>32</v>
      </c>
      <c r="Z524" s="78"/>
    </row>
    <row r="525" spans="1:26" s="70" customFormat="1" ht="24.95" customHeight="1">
      <c r="A525" s="80"/>
      <c r="B525" s="147">
        <v>45505</v>
      </c>
      <c r="C525" s="146" t="s">
        <v>35</v>
      </c>
      <c r="D525" s="59" t="s">
        <v>20</v>
      </c>
      <c r="E525" s="14" t="str">
        <f t="shared" si="44"/>
        <v>V6A</v>
      </c>
      <c r="F525" s="111" t="s">
        <v>186</v>
      </c>
      <c r="G525" s="15" t="s">
        <v>27</v>
      </c>
      <c r="H525" s="111">
        <v>1.18</v>
      </c>
      <c r="I525" s="22" t="s">
        <v>187</v>
      </c>
      <c r="J525" s="21" t="s">
        <v>839</v>
      </c>
      <c r="K525" s="21" t="s">
        <v>839</v>
      </c>
      <c r="L525" s="125" t="s">
        <v>1419</v>
      </c>
      <c r="M525" s="96"/>
      <c r="N525" s="45" t="s">
        <v>1426</v>
      </c>
      <c r="O525" s="23" t="s">
        <v>29</v>
      </c>
      <c r="P525" s="23" t="s">
        <v>38</v>
      </c>
      <c r="Q525" s="88">
        <v>5</v>
      </c>
      <c r="R525" s="66">
        <v>45509</v>
      </c>
      <c r="S525" s="54">
        <v>45519</v>
      </c>
      <c r="T525" s="45" t="s">
        <v>19</v>
      </c>
      <c r="U525" s="100">
        <v>5</v>
      </c>
      <c r="V525" s="108">
        <v>0</v>
      </c>
      <c r="W525" s="22" t="s">
        <v>40</v>
      </c>
      <c r="X525" s="22" t="str">
        <f t="shared" si="45"/>
        <v>1HGZ-MA1.18</v>
      </c>
      <c r="Y525" s="22" t="s">
        <v>32</v>
      </c>
      <c r="Z525" s="78"/>
    </row>
    <row r="526" spans="1:26" s="70" customFormat="1" ht="24.95" customHeight="1">
      <c r="A526" s="80"/>
      <c r="B526" s="147">
        <v>45505</v>
      </c>
      <c r="C526" s="146" t="s">
        <v>35</v>
      </c>
      <c r="D526" s="59" t="s">
        <v>20</v>
      </c>
      <c r="E526" s="14" t="str">
        <f t="shared" si="44"/>
        <v>V6B</v>
      </c>
      <c r="F526" s="111" t="s">
        <v>205</v>
      </c>
      <c r="G526" s="15" t="s">
        <v>27</v>
      </c>
      <c r="H526" s="111">
        <v>1.35</v>
      </c>
      <c r="I526" s="22" t="s">
        <v>206</v>
      </c>
      <c r="J526" s="21" t="s">
        <v>839</v>
      </c>
      <c r="K526" s="21" t="s">
        <v>839</v>
      </c>
      <c r="L526" s="125" t="s">
        <v>1419</v>
      </c>
      <c r="M526" s="96"/>
      <c r="N526" s="45" t="s">
        <v>1427</v>
      </c>
      <c r="O526" s="23" t="s">
        <v>30</v>
      </c>
      <c r="P526" s="23" t="s">
        <v>349</v>
      </c>
      <c r="Q526" s="88">
        <v>5</v>
      </c>
      <c r="R526" s="66">
        <v>45509</v>
      </c>
      <c r="S526" s="54">
        <v>45519</v>
      </c>
      <c r="T526" s="45" t="s">
        <v>19</v>
      </c>
      <c r="U526" s="100">
        <v>7</v>
      </c>
      <c r="V526" s="108">
        <v>0</v>
      </c>
      <c r="W526" s="22" t="s">
        <v>40</v>
      </c>
      <c r="X526" s="22" t="str">
        <f t="shared" si="45"/>
        <v>2EIWAD1.35</v>
      </c>
      <c r="Y526" s="22" t="s">
        <v>32</v>
      </c>
      <c r="Z526" s="78"/>
    </row>
    <row r="527" spans="1:26" s="70" customFormat="1" ht="24.95" customHeight="1">
      <c r="A527" s="80"/>
      <c r="B527" s="147">
        <v>45505</v>
      </c>
      <c r="C527" s="146" t="s">
        <v>35</v>
      </c>
      <c r="D527" s="59" t="s">
        <v>20</v>
      </c>
      <c r="E527" s="14" t="str">
        <f t="shared" si="44"/>
        <v>VOB</v>
      </c>
      <c r="F527" s="111" t="s">
        <v>151</v>
      </c>
      <c r="G527" s="15" t="s">
        <v>27</v>
      </c>
      <c r="H527" s="111">
        <v>0.75</v>
      </c>
      <c r="I527" s="22" t="s">
        <v>31</v>
      </c>
      <c r="J527" s="21" t="s">
        <v>1424</v>
      </c>
      <c r="K527" s="21" t="s">
        <v>1424</v>
      </c>
      <c r="L527" s="21" t="s">
        <v>1428</v>
      </c>
      <c r="M527" s="96"/>
      <c r="N527" s="45" t="s">
        <v>1429</v>
      </c>
      <c r="O527" s="23" t="s">
        <v>195</v>
      </c>
      <c r="P527" s="23" t="s">
        <v>38</v>
      </c>
      <c r="Q527" s="88">
        <v>5</v>
      </c>
      <c r="R527" s="66">
        <v>45509</v>
      </c>
      <c r="S527" s="54">
        <v>45519</v>
      </c>
      <c r="T527" s="45" t="s">
        <v>19</v>
      </c>
      <c r="U527" s="100">
        <v>5</v>
      </c>
      <c r="V527" s="108">
        <v>0</v>
      </c>
      <c r="W527" s="22" t="s">
        <v>40</v>
      </c>
      <c r="X527" s="22" t="str">
        <f t="shared" si="45"/>
        <v>D1PEW-B-2Y0.75</v>
      </c>
      <c r="Y527" s="22" t="s">
        <v>32</v>
      </c>
      <c r="Z527" s="78"/>
    </row>
    <row r="528" spans="1:26" s="70" customFormat="1" ht="24.95" customHeight="1">
      <c r="A528" s="80"/>
      <c r="B528" s="147">
        <v>45505</v>
      </c>
      <c r="C528" s="146" t="s">
        <v>35</v>
      </c>
      <c r="D528" s="59" t="s">
        <v>20</v>
      </c>
      <c r="E528" s="14" t="str">
        <f t="shared" si="44"/>
        <v>V6B</v>
      </c>
      <c r="F528" s="111" t="s">
        <v>205</v>
      </c>
      <c r="G528" s="15" t="s">
        <v>27</v>
      </c>
      <c r="H528" s="111">
        <v>1.35</v>
      </c>
      <c r="I528" s="22" t="s">
        <v>206</v>
      </c>
      <c r="J528" s="21" t="s">
        <v>1430</v>
      </c>
      <c r="K528" s="21" t="s">
        <v>1431</v>
      </c>
      <c r="L528" s="125" t="s">
        <v>1432</v>
      </c>
      <c r="M528" s="96"/>
      <c r="N528" s="45" t="s">
        <v>1433</v>
      </c>
      <c r="O528" s="23" t="s">
        <v>30</v>
      </c>
      <c r="P528" s="23" t="s">
        <v>349</v>
      </c>
      <c r="Q528" s="88">
        <v>7</v>
      </c>
      <c r="R528" s="66">
        <v>45507</v>
      </c>
      <c r="S528" s="54">
        <v>45519</v>
      </c>
      <c r="T528" s="45" t="s">
        <v>19</v>
      </c>
      <c r="U528" s="100">
        <v>7</v>
      </c>
      <c r="V528" s="108">
        <v>0</v>
      </c>
      <c r="W528" s="22" t="s">
        <v>40</v>
      </c>
      <c r="X528" s="22" t="str">
        <f t="shared" si="45"/>
        <v>2EIWAD1.35</v>
      </c>
      <c r="Y528" s="22" t="s">
        <v>32</v>
      </c>
      <c r="Z528" s="78"/>
    </row>
    <row r="529" spans="1:26" s="70" customFormat="1" ht="24.95" customHeight="1">
      <c r="A529" s="80"/>
      <c r="B529" s="147">
        <v>45505</v>
      </c>
      <c r="C529" s="146" t="s">
        <v>35</v>
      </c>
      <c r="D529" s="59" t="s">
        <v>20</v>
      </c>
      <c r="E529" s="14" t="str">
        <f t="shared" si="44"/>
        <v>VOB</v>
      </c>
      <c r="F529" s="111" t="s">
        <v>42</v>
      </c>
      <c r="G529" s="3" t="s">
        <v>26</v>
      </c>
      <c r="H529" s="111">
        <v>0.7</v>
      </c>
      <c r="I529" s="22" t="s">
        <v>43</v>
      </c>
      <c r="J529" s="21" t="s">
        <v>58</v>
      </c>
      <c r="K529" s="21"/>
      <c r="L529" s="125" t="s">
        <v>1434</v>
      </c>
      <c r="M529" s="96"/>
      <c r="N529" s="45" t="s">
        <v>1435</v>
      </c>
      <c r="O529" s="23" t="s">
        <v>1436</v>
      </c>
      <c r="P529" s="23" t="s">
        <v>38</v>
      </c>
      <c r="Q529" s="88">
        <v>15</v>
      </c>
      <c r="R529" s="66">
        <v>45517</v>
      </c>
      <c r="S529" s="54">
        <v>45518</v>
      </c>
      <c r="T529" s="45" t="s">
        <v>19</v>
      </c>
      <c r="U529" s="100">
        <v>15</v>
      </c>
      <c r="V529" s="108">
        <v>0</v>
      </c>
      <c r="W529" s="22" t="s">
        <v>40</v>
      </c>
      <c r="X529" s="22" t="str">
        <f t="shared" si="45"/>
        <v>D1-PEW-B-2Y0.7</v>
      </c>
      <c r="Y529" s="22" t="s">
        <v>32</v>
      </c>
      <c r="Z529" s="78"/>
    </row>
    <row r="530" spans="1:26" s="70" customFormat="1" ht="24.95" customHeight="1">
      <c r="A530" s="80"/>
      <c r="B530" s="147">
        <v>45505</v>
      </c>
      <c r="C530" s="146" t="s">
        <v>35</v>
      </c>
      <c r="D530" s="59" t="s">
        <v>20</v>
      </c>
      <c r="E530" s="14" t="str">
        <f t="shared" si="44"/>
        <v>V6A</v>
      </c>
      <c r="F530" s="111" t="s">
        <v>186</v>
      </c>
      <c r="G530" s="15" t="s">
        <v>27</v>
      </c>
      <c r="H530" s="111">
        <v>1.18</v>
      </c>
      <c r="I530" s="22" t="s">
        <v>187</v>
      </c>
      <c r="J530" s="21" t="s">
        <v>951</v>
      </c>
      <c r="K530" s="21" t="s">
        <v>951</v>
      </c>
      <c r="L530" s="125" t="s">
        <v>60</v>
      </c>
      <c r="M530" s="96"/>
      <c r="N530" s="45" t="s">
        <v>1437</v>
      </c>
      <c r="O530" s="23" t="s">
        <v>198</v>
      </c>
      <c r="P530" s="23" t="s">
        <v>38</v>
      </c>
      <c r="Q530" s="88">
        <v>10</v>
      </c>
      <c r="R530" s="66">
        <v>45513</v>
      </c>
      <c r="S530" s="54">
        <v>45516</v>
      </c>
      <c r="T530" s="45" t="s">
        <v>19</v>
      </c>
      <c r="U530" s="100">
        <v>10</v>
      </c>
      <c r="V530" s="108">
        <v>0</v>
      </c>
      <c r="W530" s="22" t="s">
        <v>40</v>
      </c>
      <c r="X530" s="22" t="str">
        <f t="shared" si="45"/>
        <v>1HGZ-MA1.18</v>
      </c>
      <c r="Y530" s="22" t="s">
        <v>32</v>
      </c>
      <c r="Z530" s="78"/>
    </row>
    <row r="531" spans="1:26" s="70" customFormat="1" ht="24.95" customHeight="1">
      <c r="A531" s="80"/>
      <c r="B531" s="147">
        <v>45505</v>
      </c>
      <c r="C531" s="146" t="s">
        <v>35</v>
      </c>
      <c r="D531" s="59" t="s">
        <v>20</v>
      </c>
      <c r="E531" s="14" t="str">
        <f t="shared" si="44"/>
        <v>V6A</v>
      </c>
      <c r="F531" s="111" t="s">
        <v>186</v>
      </c>
      <c r="G531" s="15" t="s">
        <v>27</v>
      </c>
      <c r="H531" s="111">
        <v>1.18</v>
      </c>
      <c r="I531" s="22" t="s">
        <v>187</v>
      </c>
      <c r="J531" s="21" t="s">
        <v>951</v>
      </c>
      <c r="K531" s="21" t="s">
        <v>951</v>
      </c>
      <c r="L531" s="125" t="s">
        <v>60</v>
      </c>
      <c r="M531" s="96"/>
      <c r="N531" s="45" t="s">
        <v>1405</v>
      </c>
      <c r="O531" s="23" t="s">
        <v>29</v>
      </c>
      <c r="P531" s="23" t="s">
        <v>38</v>
      </c>
      <c r="Q531" s="88">
        <v>5</v>
      </c>
      <c r="R531" s="66">
        <v>45514</v>
      </c>
      <c r="S531" s="54">
        <v>45516</v>
      </c>
      <c r="T531" s="45" t="s">
        <v>19</v>
      </c>
      <c r="U531" s="100">
        <v>5</v>
      </c>
      <c r="V531" s="108">
        <v>0</v>
      </c>
      <c r="W531" s="22" t="s">
        <v>40</v>
      </c>
      <c r="X531" s="22" t="str">
        <f t="shared" si="45"/>
        <v>1HGZ-MA1.18</v>
      </c>
      <c r="Y531" s="22" t="s">
        <v>32</v>
      </c>
      <c r="Z531" s="78"/>
    </row>
    <row r="532" spans="1:26" s="70" customFormat="1" ht="24.95" customHeight="1">
      <c r="A532" s="80"/>
      <c r="B532" s="147">
        <v>45505</v>
      </c>
      <c r="C532" s="146" t="s">
        <v>35</v>
      </c>
      <c r="D532" s="59" t="s">
        <v>20</v>
      </c>
      <c r="E532" s="14" t="str">
        <f t="shared" si="44"/>
        <v>V9A</v>
      </c>
      <c r="F532" s="111" t="s">
        <v>637</v>
      </c>
      <c r="G532" s="3" t="s">
        <v>26</v>
      </c>
      <c r="H532" s="111">
        <v>1.1000000000000001</v>
      </c>
      <c r="I532" s="22" t="s">
        <v>268</v>
      </c>
      <c r="J532" s="21" t="s">
        <v>162</v>
      </c>
      <c r="K532" s="21"/>
      <c r="L532" s="125" t="s">
        <v>1438</v>
      </c>
      <c r="M532" s="96"/>
      <c r="N532" s="45" t="s">
        <v>1439</v>
      </c>
      <c r="O532" s="23" t="s">
        <v>176</v>
      </c>
      <c r="P532" s="23" t="s">
        <v>250</v>
      </c>
      <c r="Q532" s="88">
        <v>2</v>
      </c>
      <c r="R532" s="66">
        <v>45511</v>
      </c>
      <c r="S532" s="54">
        <v>45518</v>
      </c>
      <c r="T532" s="45" t="s">
        <v>19</v>
      </c>
      <c r="U532" s="100">
        <v>2</v>
      </c>
      <c r="V532" s="108">
        <v>0</v>
      </c>
      <c r="W532" s="22" t="s">
        <v>40</v>
      </c>
      <c r="X532" s="22" t="str">
        <f t="shared" si="45"/>
        <v>0FBWCC1.1</v>
      </c>
      <c r="Y532" s="22" t="s">
        <v>32</v>
      </c>
      <c r="Z532" s="78"/>
    </row>
    <row r="533" spans="1:26" s="70" customFormat="1" ht="24.95" customHeight="1">
      <c r="A533" s="80"/>
      <c r="B533" s="147">
        <v>45505</v>
      </c>
      <c r="C533" s="146" t="s">
        <v>35</v>
      </c>
      <c r="D533" s="59" t="s">
        <v>20</v>
      </c>
      <c r="E533" s="14" t="str">
        <f t="shared" si="44"/>
        <v>V8D</v>
      </c>
      <c r="F533" s="111" t="s">
        <v>24</v>
      </c>
      <c r="G533" s="3" t="s">
        <v>26</v>
      </c>
      <c r="H533" s="111">
        <v>0.9</v>
      </c>
      <c r="I533" s="22" t="s">
        <v>1397</v>
      </c>
      <c r="J533" s="21" t="s">
        <v>162</v>
      </c>
      <c r="K533" s="21"/>
      <c r="L533" s="125" t="s">
        <v>60</v>
      </c>
      <c r="M533" s="96"/>
      <c r="N533" s="45" t="s">
        <v>1440</v>
      </c>
      <c r="O533" s="23" t="s">
        <v>30</v>
      </c>
      <c r="P533" s="23" t="s">
        <v>250</v>
      </c>
      <c r="Q533" s="88">
        <v>1</v>
      </c>
      <c r="R533" s="66">
        <v>45515</v>
      </c>
      <c r="S533" s="54">
        <v>45518</v>
      </c>
      <c r="T533" s="45" t="s">
        <v>19</v>
      </c>
      <c r="U533" s="100">
        <v>1</v>
      </c>
      <c r="V533" s="108">
        <v>0</v>
      </c>
      <c r="W533" s="22" t="s">
        <v>40</v>
      </c>
      <c r="X533" s="22" t="str">
        <f t="shared" si="45"/>
        <v>2PEW0.9</v>
      </c>
      <c r="Y533" s="22" t="s">
        <v>32</v>
      </c>
      <c r="Z533" s="78"/>
    </row>
    <row r="534" spans="1:26" s="70" customFormat="1" ht="24.95" customHeight="1">
      <c r="A534" s="80"/>
      <c r="B534" s="147">
        <v>45505</v>
      </c>
      <c r="C534" s="146" t="s">
        <v>35</v>
      </c>
      <c r="D534" s="59" t="s">
        <v>20</v>
      </c>
      <c r="E534" s="14" t="str">
        <f t="shared" si="44"/>
        <v>11B</v>
      </c>
      <c r="F534" s="111" t="s">
        <v>24</v>
      </c>
      <c r="G534" s="15" t="s">
        <v>27</v>
      </c>
      <c r="H534" s="111">
        <v>0.82</v>
      </c>
      <c r="I534" s="22" t="s">
        <v>1397</v>
      </c>
      <c r="J534" s="21" t="s">
        <v>1441</v>
      </c>
      <c r="K534" s="21" t="s">
        <v>1442</v>
      </c>
      <c r="L534" s="125" t="s">
        <v>1443</v>
      </c>
      <c r="M534" s="96"/>
      <c r="N534" s="45" t="s">
        <v>1444</v>
      </c>
      <c r="O534" s="23" t="s">
        <v>193</v>
      </c>
      <c r="P534" s="23" t="s">
        <v>250</v>
      </c>
      <c r="Q534" s="88">
        <v>2</v>
      </c>
      <c r="R534" s="66">
        <v>45512</v>
      </c>
      <c r="S534" s="54">
        <v>45518</v>
      </c>
      <c r="T534" s="45" t="s">
        <v>19</v>
      </c>
      <c r="U534" s="100">
        <v>2</v>
      </c>
      <c r="V534" s="108">
        <v>0</v>
      </c>
      <c r="W534" s="22" t="s">
        <v>40</v>
      </c>
      <c r="X534" s="22" t="str">
        <f t="shared" si="45"/>
        <v>2PEW0.82</v>
      </c>
      <c r="Y534" s="22" t="s">
        <v>32</v>
      </c>
      <c r="Z534" s="78"/>
    </row>
    <row r="535" spans="1:26" s="70" customFormat="1" ht="24.95" customHeight="1">
      <c r="A535" s="80"/>
      <c r="B535" s="147">
        <v>45505</v>
      </c>
      <c r="C535" s="146" t="s">
        <v>35</v>
      </c>
      <c r="D535" s="59" t="s">
        <v>20</v>
      </c>
      <c r="E535" s="14" t="str">
        <f t="shared" si="44"/>
        <v>VOB</v>
      </c>
      <c r="F535" s="111" t="s">
        <v>42</v>
      </c>
      <c r="G535" s="3" t="s">
        <v>26</v>
      </c>
      <c r="H535" s="111">
        <v>0.7</v>
      </c>
      <c r="I535" s="22" t="s">
        <v>43</v>
      </c>
      <c r="J535" s="21" t="s">
        <v>360</v>
      </c>
      <c r="K535" s="21"/>
      <c r="L535" s="125" t="s">
        <v>1445</v>
      </c>
      <c r="M535" s="96"/>
      <c r="N535" s="45" t="s">
        <v>1435</v>
      </c>
      <c r="O535" s="23" t="s">
        <v>30</v>
      </c>
      <c r="P535" s="23" t="s">
        <v>551</v>
      </c>
      <c r="Q535" s="88">
        <v>5</v>
      </c>
      <c r="R535" s="66">
        <v>45516</v>
      </c>
      <c r="S535" s="54">
        <v>45517</v>
      </c>
      <c r="T535" s="45" t="s">
        <v>19</v>
      </c>
      <c r="U535" s="100">
        <v>5</v>
      </c>
      <c r="V535" s="108">
        <v>0</v>
      </c>
      <c r="W535" s="22" t="s">
        <v>40</v>
      </c>
      <c r="X535" s="22" t="str">
        <f t="shared" si="45"/>
        <v>D1-PEW-B-2Y0.7</v>
      </c>
      <c r="Y535" s="22" t="s">
        <v>32</v>
      </c>
      <c r="Z535" s="78"/>
    </row>
    <row r="536" spans="1:26" s="70" customFormat="1" ht="24.95" customHeight="1">
      <c r="A536" s="80"/>
      <c r="B536" s="147">
        <v>45505</v>
      </c>
      <c r="C536" s="146" t="s">
        <v>35</v>
      </c>
      <c r="D536" s="59" t="s">
        <v>20</v>
      </c>
      <c r="E536" s="14" t="str">
        <f t="shared" si="44"/>
        <v>V9A</v>
      </c>
      <c r="F536" s="111" t="s">
        <v>1446</v>
      </c>
      <c r="G536" s="3" t="s">
        <v>26</v>
      </c>
      <c r="H536" s="111">
        <v>1</v>
      </c>
      <c r="I536" s="22" t="s">
        <v>268</v>
      </c>
      <c r="J536" s="21" t="s">
        <v>360</v>
      </c>
      <c r="K536" s="21" t="s">
        <v>1447</v>
      </c>
      <c r="L536" s="125" t="s">
        <v>1448</v>
      </c>
      <c r="M536" s="96"/>
      <c r="N536" s="45" t="s">
        <v>1449</v>
      </c>
      <c r="O536" s="23" t="s">
        <v>176</v>
      </c>
      <c r="P536" s="23" t="s">
        <v>349</v>
      </c>
      <c r="Q536" s="88">
        <v>14</v>
      </c>
      <c r="R536" s="66">
        <v>45513</v>
      </c>
      <c r="S536" s="54">
        <v>45516</v>
      </c>
      <c r="T536" s="45" t="s">
        <v>19</v>
      </c>
      <c r="U536" s="100">
        <v>14</v>
      </c>
      <c r="V536" s="108">
        <v>0</v>
      </c>
      <c r="W536" s="22" t="s">
        <v>40</v>
      </c>
      <c r="X536" s="22" t="str">
        <f t="shared" si="45"/>
        <v>1FBWCC1</v>
      </c>
      <c r="Y536" s="22" t="s">
        <v>32</v>
      </c>
      <c r="Z536" s="78"/>
    </row>
    <row r="537" spans="1:26" s="70" customFormat="1" ht="24.95" customHeight="1">
      <c r="A537" s="80"/>
      <c r="B537" s="147">
        <v>45505</v>
      </c>
      <c r="C537" s="146" t="s">
        <v>35</v>
      </c>
      <c r="D537" s="59" t="s">
        <v>20</v>
      </c>
      <c r="E537" s="14" t="str">
        <f t="shared" si="44"/>
        <v>VOB</v>
      </c>
      <c r="F537" s="111" t="s">
        <v>42</v>
      </c>
      <c r="G537" s="3" t="s">
        <v>26</v>
      </c>
      <c r="H537" s="111">
        <v>0.7</v>
      </c>
      <c r="I537" s="22" t="s">
        <v>43</v>
      </c>
      <c r="J537" s="21" t="s">
        <v>1173</v>
      </c>
      <c r="K537" s="21"/>
      <c r="L537" s="125"/>
      <c r="M537" s="96"/>
      <c r="N537" s="45" t="s">
        <v>1450</v>
      </c>
      <c r="O537" s="23" t="s">
        <v>56</v>
      </c>
      <c r="P537" s="23" t="s">
        <v>38</v>
      </c>
      <c r="Q537" s="88">
        <v>10</v>
      </c>
      <c r="R537" s="66">
        <v>45516</v>
      </c>
      <c r="S537" s="54">
        <v>45517</v>
      </c>
      <c r="T537" s="45" t="s">
        <v>19</v>
      </c>
      <c r="U537" s="100">
        <v>10</v>
      </c>
      <c r="V537" s="108">
        <v>0</v>
      </c>
      <c r="W537" s="22" t="s">
        <v>40</v>
      </c>
      <c r="X537" s="22" t="str">
        <f t="shared" si="45"/>
        <v>D1-PEW-B-2Y0.7</v>
      </c>
      <c r="Y537" s="22" t="s">
        <v>32</v>
      </c>
      <c r="Z537" s="78"/>
    </row>
    <row r="538" spans="1:26" s="70" customFormat="1" ht="24.95" customHeight="1">
      <c r="A538" s="80"/>
      <c r="B538" s="147">
        <v>45505</v>
      </c>
      <c r="C538" s="146" t="s">
        <v>35</v>
      </c>
      <c r="D538" s="59" t="s">
        <v>20</v>
      </c>
      <c r="E538" s="14" t="str">
        <f t="shared" si="44"/>
        <v>V6A</v>
      </c>
      <c r="F538" s="111" t="s">
        <v>186</v>
      </c>
      <c r="G538" s="15" t="s">
        <v>27</v>
      </c>
      <c r="H538" s="111">
        <v>1.18</v>
      </c>
      <c r="I538" s="22" t="s">
        <v>187</v>
      </c>
      <c r="J538" s="21" t="s">
        <v>951</v>
      </c>
      <c r="K538" s="21" t="s">
        <v>951</v>
      </c>
      <c r="L538" s="125" t="s">
        <v>1451</v>
      </c>
      <c r="M538" s="96"/>
      <c r="N538" s="45" t="s">
        <v>1393</v>
      </c>
      <c r="O538" s="23" t="s">
        <v>263</v>
      </c>
      <c r="P538" s="23" t="s">
        <v>1452</v>
      </c>
      <c r="Q538" s="88">
        <v>2</v>
      </c>
      <c r="R538" s="66">
        <v>45512</v>
      </c>
      <c r="S538" s="54">
        <v>45518</v>
      </c>
      <c r="T538" s="45" t="s">
        <v>19</v>
      </c>
      <c r="U538" s="100">
        <v>2</v>
      </c>
      <c r="V538" s="108">
        <v>0</v>
      </c>
      <c r="W538" s="22" t="s">
        <v>40</v>
      </c>
      <c r="X538" s="22" t="str">
        <f t="shared" si="45"/>
        <v>1HGZ-MA1.18</v>
      </c>
      <c r="Y538" s="22" t="s">
        <v>32</v>
      </c>
      <c r="Z538" s="78"/>
    </row>
    <row r="539" spans="1:26" s="70" customFormat="1" ht="24.95" customHeight="1">
      <c r="A539" s="80"/>
      <c r="B539" s="147">
        <v>45505</v>
      </c>
      <c r="C539" s="146" t="s">
        <v>35</v>
      </c>
      <c r="D539" s="59" t="s">
        <v>20</v>
      </c>
      <c r="E539" s="14" t="str">
        <f t="shared" si="44"/>
        <v>V6A</v>
      </c>
      <c r="F539" s="111" t="s">
        <v>186</v>
      </c>
      <c r="G539" s="15" t="s">
        <v>27</v>
      </c>
      <c r="H539" s="111">
        <v>1.18</v>
      </c>
      <c r="I539" s="22" t="s">
        <v>187</v>
      </c>
      <c r="J539" s="21" t="s">
        <v>951</v>
      </c>
      <c r="K539" s="21" t="s">
        <v>951</v>
      </c>
      <c r="L539" s="125" t="s">
        <v>60</v>
      </c>
      <c r="M539" s="96"/>
      <c r="N539" s="45" t="s">
        <v>1453</v>
      </c>
      <c r="O539" s="23" t="s">
        <v>464</v>
      </c>
      <c r="P539" s="23" t="s">
        <v>38</v>
      </c>
      <c r="Q539" s="88">
        <v>10</v>
      </c>
      <c r="R539" s="66">
        <v>45512</v>
      </c>
      <c r="S539" s="54">
        <v>45517</v>
      </c>
      <c r="T539" s="45" t="s">
        <v>19</v>
      </c>
      <c r="U539" s="100">
        <v>10</v>
      </c>
      <c r="V539" s="108">
        <v>0</v>
      </c>
      <c r="W539" s="22" t="s">
        <v>40</v>
      </c>
      <c r="X539" s="22" t="str">
        <f t="shared" si="45"/>
        <v>1HGZ-MA1.18</v>
      </c>
      <c r="Y539" s="22" t="s">
        <v>32</v>
      </c>
      <c r="Z539" s="78"/>
    </row>
    <row r="540" spans="1:26" s="70" customFormat="1" ht="24.95" customHeight="1">
      <c r="A540" s="80"/>
      <c r="B540" s="147">
        <v>45505</v>
      </c>
      <c r="C540" s="146" t="s">
        <v>35</v>
      </c>
      <c r="D540" s="59" t="s">
        <v>20</v>
      </c>
      <c r="E540" s="14" t="str">
        <f t="shared" si="44"/>
        <v>V8D</v>
      </c>
      <c r="F540" s="111" t="s">
        <v>1253</v>
      </c>
      <c r="G540" s="3" t="s">
        <v>26</v>
      </c>
      <c r="H540" s="111">
        <v>0.7</v>
      </c>
      <c r="I540" s="22" t="s">
        <v>1254</v>
      </c>
      <c r="J540" s="21" t="s">
        <v>350</v>
      </c>
      <c r="K540" s="21" t="s">
        <v>350</v>
      </c>
      <c r="L540" s="125" t="s">
        <v>1471</v>
      </c>
      <c r="M540" s="96"/>
      <c r="N540" s="45" t="s">
        <v>1472</v>
      </c>
      <c r="O540" s="23" t="s">
        <v>532</v>
      </c>
      <c r="P540" s="23" t="s">
        <v>328</v>
      </c>
      <c r="Q540" s="88">
        <v>1</v>
      </c>
      <c r="R540" s="66">
        <v>45519</v>
      </c>
      <c r="S540" s="54">
        <v>45523</v>
      </c>
      <c r="T540" s="45" t="s">
        <v>19</v>
      </c>
      <c r="U540" s="100">
        <v>1</v>
      </c>
      <c r="V540" s="108">
        <v>0</v>
      </c>
      <c r="W540" s="22" t="s">
        <v>40</v>
      </c>
      <c r="X540" s="22" t="str">
        <f t="shared" si="45"/>
        <v>1AIW-S0.7</v>
      </c>
      <c r="Y540" s="22" t="s">
        <v>32</v>
      </c>
      <c r="Z540" s="78"/>
    </row>
    <row r="541" spans="1:26" s="70" customFormat="1" ht="24.95" customHeight="1">
      <c r="A541" s="80"/>
      <c r="B541" s="147">
        <v>45505</v>
      </c>
      <c r="C541" s="146" t="s">
        <v>35</v>
      </c>
      <c r="D541" s="59" t="s">
        <v>20</v>
      </c>
      <c r="E541" s="14" t="str">
        <f t="shared" si="44"/>
        <v>VOA</v>
      </c>
      <c r="F541" s="111" t="s">
        <v>259</v>
      </c>
      <c r="G541" s="15" t="s">
        <v>27</v>
      </c>
      <c r="H541" s="111">
        <v>0.6</v>
      </c>
      <c r="I541" s="22" t="s">
        <v>31</v>
      </c>
      <c r="J541" s="55" t="s">
        <v>1473</v>
      </c>
      <c r="K541" s="21" t="s">
        <v>1474</v>
      </c>
      <c r="L541" s="125" t="s">
        <v>1475</v>
      </c>
      <c r="M541" s="96"/>
      <c r="N541" s="45" t="s">
        <v>1476</v>
      </c>
      <c r="O541" s="23" t="s">
        <v>39</v>
      </c>
      <c r="P541" s="23" t="s">
        <v>38</v>
      </c>
      <c r="Q541" s="88">
        <v>5</v>
      </c>
      <c r="R541" s="66">
        <v>45520</v>
      </c>
      <c r="S541" s="54">
        <v>45523</v>
      </c>
      <c r="T541" s="45" t="s">
        <v>19</v>
      </c>
      <c r="U541" s="100">
        <v>5</v>
      </c>
      <c r="V541" s="108">
        <v>0</v>
      </c>
      <c r="W541" s="22" t="s">
        <v>40</v>
      </c>
      <c r="X541" s="22" t="str">
        <f t="shared" si="45"/>
        <v>D1-PEW-B-2T0.6</v>
      </c>
      <c r="Y541" s="22" t="s">
        <v>32</v>
      </c>
      <c r="Z541" s="78"/>
    </row>
    <row r="542" spans="1:26" s="70" customFormat="1" ht="24.95" customHeight="1">
      <c r="A542" s="80"/>
      <c r="B542" s="147">
        <v>45505</v>
      </c>
      <c r="C542" s="146" t="s">
        <v>35</v>
      </c>
      <c r="D542" s="59" t="s">
        <v>20</v>
      </c>
      <c r="E542" s="14" t="str">
        <f t="shared" si="44"/>
        <v>VOA</v>
      </c>
      <c r="F542" s="111" t="s">
        <v>259</v>
      </c>
      <c r="G542" s="15" t="s">
        <v>27</v>
      </c>
      <c r="H542" s="111">
        <v>0.6</v>
      </c>
      <c r="I542" s="22" t="s">
        <v>31</v>
      </c>
      <c r="J542" s="21" t="s">
        <v>1477</v>
      </c>
      <c r="K542" s="21" t="s">
        <v>1478</v>
      </c>
      <c r="L542" s="125" t="s">
        <v>1479</v>
      </c>
      <c r="M542" s="96"/>
      <c r="N542" s="45" t="s">
        <v>1480</v>
      </c>
      <c r="O542" s="23" t="s">
        <v>263</v>
      </c>
      <c r="P542" s="23" t="s">
        <v>328</v>
      </c>
      <c r="Q542" s="88">
        <v>1</v>
      </c>
      <c r="R542" s="66">
        <v>45519</v>
      </c>
      <c r="S542" s="54">
        <v>45523</v>
      </c>
      <c r="T542" s="45" t="s">
        <v>19</v>
      </c>
      <c r="U542" s="100">
        <v>1</v>
      </c>
      <c r="V542" s="108">
        <v>0</v>
      </c>
      <c r="W542" s="22" t="s">
        <v>40</v>
      </c>
      <c r="X542" s="22" t="str">
        <f t="shared" si="45"/>
        <v>D1-PEW-B-2T0.6</v>
      </c>
      <c r="Y542" s="22" t="s">
        <v>32</v>
      </c>
      <c r="Z542" s="78"/>
    </row>
    <row r="543" spans="1:26" s="70" customFormat="1" ht="24.95" customHeight="1">
      <c r="A543" s="80"/>
      <c r="B543" s="147">
        <v>45505</v>
      </c>
      <c r="C543" s="146" t="s">
        <v>35</v>
      </c>
      <c r="D543" s="59" t="s">
        <v>20</v>
      </c>
      <c r="E543" s="14" t="str">
        <f t="shared" si="44"/>
        <v>VOB</v>
      </c>
      <c r="F543" s="111" t="s">
        <v>42</v>
      </c>
      <c r="G543" s="3" t="s">
        <v>26</v>
      </c>
      <c r="H543" s="111">
        <v>0.7</v>
      </c>
      <c r="I543" s="22" t="s">
        <v>43</v>
      </c>
      <c r="J543" s="21" t="s">
        <v>360</v>
      </c>
      <c r="K543" s="21"/>
      <c r="L543" s="125" t="s">
        <v>208</v>
      </c>
      <c r="M543" s="96"/>
      <c r="N543" s="45" t="s">
        <v>1481</v>
      </c>
      <c r="O543" s="23" t="s">
        <v>263</v>
      </c>
      <c r="P543" s="23" t="s">
        <v>38</v>
      </c>
      <c r="Q543" s="88">
        <v>5</v>
      </c>
      <c r="R543" s="66">
        <v>45518</v>
      </c>
      <c r="S543" s="54">
        <v>45523</v>
      </c>
      <c r="T543" s="45" t="s">
        <v>19</v>
      </c>
      <c r="U543" s="100">
        <v>5</v>
      </c>
      <c r="V543" s="108">
        <v>0</v>
      </c>
      <c r="W543" s="22" t="s">
        <v>40</v>
      </c>
      <c r="X543" s="22" t="str">
        <f t="shared" si="45"/>
        <v>D1-PEW-B-2Y0.7</v>
      </c>
      <c r="Y543" s="22" t="s">
        <v>32</v>
      </c>
      <c r="Z543" s="78"/>
    </row>
    <row r="544" spans="1:26" s="70" customFormat="1" ht="24.95" customHeight="1">
      <c r="A544" s="80"/>
      <c r="B544" s="147">
        <v>45505</v>
      </c>
      <c r="C544" s="146" t="s">
        <v>35</v>
      </c>
      <c r="D544" s="59" t="s">
        <v>20</v>
      </c>
      <c r="E544" s="14" t="str">
        <f t="shared" si="44"/>
        <v>V8D</v>
      </c>
      <c r="F544" s="111" t="s">
        <v>24</v>
      </c>
      <c r="G544" s="3" t="s">
        <v>26</v>
      </c>
      <c r="H544" s="111">
        <v>0.9</v>
      </c>
      <c r="I544" s="22" t="s">
        <v>1397</v>
      </c>
      <c r="J544" s="21" t="s">
        <v>188</v>
      </c>
      <c r="K544" s="21"/>
      <c r="L544" s="125" t="s">
        <v>208</v>
      </c>
      <c r="M544" s="96"/>
      <c r="N544" s="45" t="s">
        <v>1482</v>
      </c>
      <c r="O544" s="23" t="s">
        <v>29</v>
      </c>
      <c r="P544" s="23" t="s">
        <v>328</v>
      </c>
      <c r="Q544" s="88">
        <v>1</v>
      </c>
      <c r="R544" s="66">
        <v>45518</v>
      </c>
      <c r="S544" s="54">
        <v>45523</v>
      </c>
      <c r="T544" s="45" t="s">
        <v>19</v>
      </c>
      <c r="U544" s="100">
        <v>1</v>
      </c>
      <c r="V544" s="108">
        <v>0</v>
      </c>
      <c r="W544" s="22" t="s">
        <v>40</v>
      </c>
      <c r="X544" s="22" t="str">
        <f t="shared" si="45"/>
        <v>2PEW0.9</v>
      </c>
      <c r="Y544" s="22" t="s">
        <v>32</v>
      </c>
      <c r="Z544" s="78"/>
    </row>
    <row r="545" spans="1:26" s="70" customFormat="1" ht="24.95" customHeight="1">
      <c r="A545" s="80"/>
      <c r="B545" s="147">
        <v>45505</v>
      </c>
      <c r="C545" s="146" t="s">
        <v>35</v>
      </c>
      <c r="D545" s="59" t="s">
        <v>20</v>
      </c>
      <c r="E545" s="14" t="str">
        <f t="shared" si="44"/>
        <v>V6A</v>
      </c>
      <c r="F545" s="111" t="s">
        <v>186</v>
      </c>
      <c r="G545" s="15" t="s">
        <v>27</v>
      </c>
      <c r="H545" s="111">
        <v>1.18</v>
      </c>
      <c r="I545" s="22" t="s">
        <v>187</v>
      </c>
      <c r="J545" s="21" t="s">
        <v>951</v>
      </c>
      <c r="K545" s="21" t="s">
        <v>951</v>
      </c>
      <c r="L545" s="125" t="s">
        <v>809</v>
      </c>
      <c r="M545" s="96"/>
      <c r="N545" s="45" t="s">
        <v>1409</v>
      </c>
      <c r="O545" s="23" t="s">
        <v>263</v>
      </c>
      <c r="P545" s="23" t="s">
        <v>38</v>
      </c>
      <c r="Q545" s="88">
        <v>5</v>
      </c>
      <c r="R545" s="66">
        <v>45518</v>
      </c>
      <c r="S545" s="54">
        <v>45523</v>
      </c>
      <c r="T545" s="45" t="s">
        <v>19</v>
      </c>
      <c r="U545" s="100">
        <v>5</v>
      </c>
      <c r="V545" s="108">
        <v>0</v>
      </c>
      <c r="W545" s="22" t="s">
        <v>40</v>
      </c>
      <c r="X545" s="22" t="str">
        <f t="shared" si="45"/>
        <v>1HGZ-MA1.18</v>
      </c>
      <c r="Y545" s="22" t="s">
        <v>32</v>
      </c>
      <c r="Z545" s="78"/>
    </row>
    <row r="546" spans="1:26" s="70" customFormat="1" ht="24.95" customHeight="1">
      <c r="A546" s="80"/>
      <c r="B546" s="147">
        <v>45505</v>
      </c>
      <c r="C546" s="146" t="s">
        <v>35</v>
      </c>
      <c r="D546" s="59" t="s">
        <v>20</v>
      </c>
      <c r="E546" s="14" t="str">
        <f t="shared" si="44"/>
        <v>11B</v>
      </c>
      <c r="F546" s="111" t="s">
        <v>24</v>
      </c>
      <c r="G546" s="15" t="s">
        <v>27</v>
      </c>
      <c r="H546" s="111" t="s">
        <v>1483</v>
      </c>
      <c r="I546" s="22" t="s">
        <v>1484</v>
      </c>
      <c r="J546" s="21" t="s">
        <v>47</v>
      </c>
      <c r="K546" s="21" t="s">
        <v>47</v>
      </c>
      <c r="L546" s="125" t="s">
        <v>60</v>
      </c>
      <c r="M546" s="96"/>
      <c r="N546" s="45" t="s">
        <v>1485</v>
      </c>
      <c r="O546" s="23" t="s">
        <v>29</v>
      </c>
      <c r="P546" s="23" t="s">
        <v>1486</v>
      </c>
      <c r="Q546" s="88">
        <v>2</v>
      </c>
      <c r="R546" s="66">
        <v>45518</v>
      </c>
      <c r="S546" s="54">
        <v>45523</v>
      </c>
      <c r="T546" s="45" t="s">
        <v>19</v>
      </c>
      <c r="U546" s="100">
        <v>2</v>
      </c>
      <c r="V546" s="108">
        <v>0</v>
      </c>
      <c r="W546" s="22" t="s">
        <v>40</v>
      </c>
      <c r="X546" s="22" t="str">
        <f t="shared" si="45"/>
        <v>2PEW0.77 / 0.82</v>
      </c>
      <c r="Y546" s="22" t="s">
        <v>32</v>
      </c>
      <c r="Z546" s="78"/>
    </row>
    <row r="547" spans="1:26" s="70" customFormat="1" ht="24.95" customHeight="1">
      <c r="A547" s="80"/>
      <c r="B547" s="147">
        <v>45505</v>
      </c>
      <c r="C547" s="146" t="s">
        <v>35</v>
      </c>
      <c r="D547" s="59" t="s">
        <v>20</v>
      </c>
      <c r="E547" s="14" t="str">
        <f t="shared" si="44"/>
        <v>V6A</v>
      </c>
      <c r="F547" s="111" t="s">
        <v>186</v>
      </c>
      <c r="G547" s="15" t="s">
        <v>27</v>
      </c>
      <c r="H547" s="111">
        <v>1.18</v>
      </c>
      <c r="I547" s="22" t="s">
        <v>187</v>
      </c>
      <c r="J547" s="21" t="s">
        <v>951</v>
      </c>
      <c r="K547" s="21" t="s">
        <v>970</v>
      </c>
      <c r="L547" s="125" t="s">
        <v>809</v>
      </c>
      <c r="M547" s="96"/>
      <c r="N547" s="45" t="s">
        <v>1496</v>
      </c>
      <c r="O547" s="23" t="s">
        <v>263</v>
      </c>
      <c r="P547" s="23" t="s">
        <v>38</v>
      </c>
      <c r="Q547" s="88">
        <v>5</v>
      </c>
      <c r="R547" s="66">
        <v>45522</v>
      </c>
      <c r="S547" s="54">
        <v>45523</v>
      </c>
      <c r="T547" s="45" t="s">
        <v>19</v>
      </c>
      <c r="U547" s="100">
        <v>5</v>
      </c>
      <c r="V547" s="108">
        <v>0</v>
      </c>
      <c r="W547" s="22" t="s">
        <v>40</v>
      </c>
      <c r="X547" s="22" t="str">
        <f t="shared" si="45"/>
        <v>1HGZ-MA1.18</v>
      </c>
      <c r="Y547" s="22" t="s">
        <v>32</v>
      </c>
      <c r="Z547" s="78"/>
    </row>
    <row r="548" spans="1:26" s="70" customFormat="1" ht="24.95" customHeight="1">
      <c r="A548" s="80"/>
      <c r="B548" s="147">
        <v>45505</v>
      </c>
      <c r="C548" s="146" t="s">
        <v>35</v>
      </c>
      <c r="D548" s="59" t="s">
        <v>20</v>
      </c>
      <c r="E548" s="14" t="str">
        <f t="shared" si="44"/>
        <v>V6A</v>
      </c>
      <c r="F548" s="111" t="s">
        <v>186</v>
      </c>
      <c r="G548" s="15" t="s">
        <v>27</v>
      </c>
      <c r="H548" s="111">
        <v>1.18</v>
      </c>
      <c r="I548" s="22" t="s">
        <v>187</v>
      </c>
      <c r="J548" s="21" t="s">
        <v>1497</v>
      </c>
      <c r="K548" s="21" t="s">
        <v>831</v>
      </c>
      <c r="L548" s="21" t="s">
        <v>1498</v>
      </c>
      <c r="M548" s="96"/>
      <c r="N548" s="45" t="s">
        <v>1499</v>
      </c>
      <c r="O548" s="23" t="s">
        <v>1500</v>
      </c>
      <c r="P548" s="23" t="s">
        <v>38</v>
      </c>
      <c r="Q548" s="88">
        <v>15</v>
      </c>
      <c r="R548" s="66">
        <v>45520</v>
      </c>
      <c r="S548" s="54">
        <v>45523</v>
      </c>
      <c r="T548" s="45" t="s">
        <v>19</v>
      </c>
      <c r="U548" s="100">
        <v>15</v>
      </c>
      <c r="V548" s="108">
        <v>0</v>
      </c>
      <c r="W548" s="22" t="s">
        <v>40</v>
      </c>
      <c r="X548" s="22" t="str">
        <f t="shared" si="45"/>
        <v>1HGZ-MA1.18</v>
      </c>
      <c r="Y548" s="22" t="s">
        <v>32</v>
      </c>
      <c r="Z548" s="78"/>
    </row>
    <row r="549" spans="1:26" s="70" customFormat="1" ht="24.95" customHeight="1">
      <c r="A549" s="80"/>
      <c r="B549" s="147">
        <v>45505</v>
      </c>
      <c r="C549" s="146" t="s">
        <v>35</v>
      </c>
      <c r="D549" s="59" t="s">
        <v>20</v>
      </c>
      <c r="E549" s="14" t="str">
        <f t="shared" si="44"/>
        <v>V6A</v>
      </c>
      <c r="F549" s="111" t="s">
        <v>186</v>
      </c>
      <c r="G549" s="15" t="s">
        <v>27</v>
      </c>
      <c r="H549" s="111">
        <v>1.18</v>
      </c>
      <c r="I549" s="22" t="s">
        <v>187</v>
      </c>
      <c r="J549" s="21" t="s">
        <v>951</v>
      </c>
      <c r="K549" s="21" t="s">
        <v>951</v>
      </c>
      <c r="L549" s="21" t="s">
        <v>60</v>
      </c>
      <c r="M549" s="96"/>
      <c r="N549" s="45" t="s">
        <v>1501</v>
      </c>
      <c r="O549" s="23" t="s">
        <v>263</v>
      </c>
      <c r="P549" s="23" t="s">
        <v>328</v>
      </c>
      <c r="Q549" s="88">
        <v>1</v>
      </c>
      <c r="R549" s="66">
        <v>45527</v>
      </c>
      <c r="S549" s="54">
        <v>45527</v>
      </c>
      <c r="T549" s="45" t="s">
        <v>19</v>
      </c>
      <c r="U549" s="100">
        <v>1</v>
      </c>
      <c r="V549" s="108">
        <v>0</v>
      </c>
      <c r="W549" s="22" t="s">
        <v>40</v>
      </c>
      <c r="X549" s="22" t="str">
        <f t="shared" si="45"/>
        <v>1HGZ-MA1.18</v>
      </c>
      <c r="Y549" s="22" t="s">
        <v>32</v>
      </c>
      <c r="Z549" s="78"/>
    </row>
    <row r="550" spans="1:26" s="70" customFormat="1" ht="24.95" customHeight="1">
      <c r="A550" s="80"/>
      <c r="B550" s="147">
        <v>45505</v>
      </c>
      <c r="C550" s="146" t="s">
        <v>35</v>
      </c>
      <c r="D550" s="59" t="s">
        <v>20</v>
      </c>
      <c r="E550" s="14" t="str">
        <f t="shared" si="44"/>
        <v>V6A</v>
      </c>
      <c r="F550" s="111" t="s">
        <v>186</v>
      </c>
      <c r="G550" s="15" t="s">
        <v>27</v>
      </c>
      <c r="H550" s="111">
        <v>1.18</v>
      </c>
      <c r="I550" s="22" t="s">
        <v>187</v>
      </c>
      <c r="J550" s="21" t="s">
        <v>951</v>
      </c>
      <c r="K550" s="21" t="s">
        <v>951</v>
      </c>
      <c r="L550" s="21" t="s">
        <v>809</v>
      </c>
      <c r="M550" s="96"/>
      <c r="N550" s="45" t="s">
        <v>1502</v>
      </c>
      <c r="O550" s="23" t="s">
        <v>1503</v>
      </c>
      <c r="P550" s="23" t="s">
        <v>365</v>
      </c>
      <c r="Q550" s="88">
        <v>10</v>
      </c>
      <c r="R550" s="66">
        <v>45525</v>
      </c>
      <c r="S550" s="54">
        <v>45527</v>
      </c>
      <c r="T550" s="45" t="s">
        <v>19</v>
      </c>
      <c r="U550" s="100">
        <v>10</v>
      </c>
      <c r="V550" s="108">
        <v>0</v>
      </c>
      <c r="W550" s="22" t="s">
        <v>40</v>
      </c>
      <c r="X550" s="22" t="str">
        <f t="shared" si="45"/>
        <v>1HGZ-MA1.18</v>
      </c>
      <c r="Y550" s="22" t="s">
        <v>32</v>
      </c>
      <c r="Z550" s="78"/>
    </row>
    <row r="551" spans="1:26" s="70" customFormat="1" ht="24.95" customHeight="1">
      <c r="A551" s="80"/>
      <c r="B551" s="147">
        <v>45505</v>
      </c>
      <c r="C551" s="146" t="s">
        <v>35</v>
      </c>
      <c r="D551" s="59" t="s">
        <v>20</v>
      </c>
      <c r="E551" s="14" t="str">
        <f t="shared" si="44"/>
        <v>V6A</v>
      </c>
      <c r="F551" s="111" t="s">
        <v>186</v>
      </c>
      <c r="G551" s="15" t="s">
        <v>27</v>
      </c>
      <c r="H551" s="111">
        <v>1.18</v>
      </c>
      <c r="I551" s="22" t="s">
        <v>187</v>
      </c>
      <c r="J551" s="21" t="s">
        <v>951</v>
      </c>
      <c r="K551" s="21" t="s">
        <v>951</v>
      </c>
      <c r="L551" s="21" t="s">
        <v>809</v>
      </c>
      <c r="M551" s="96"/>
      <c r="N551" s="45" t="s">
        <v>1496</v>
      </c>
      <c r="O551" s="23" t="s">
        <v>195</v>
      </c>
      <c r="P551" s="23" t="s">
        <v>38</v>
      </c>
      <c r="Q551" s="88">
        <v>5</v>
      </c>
      <c r="R551" s="66">
        <v>45523</v>
      </c>
      <c r="S551" s="54">
        <v>45527</v>
      </c>
      <c r="T551" s="45" t="s">
        <v>19</v>
      </c>
      <c r="U551" s="100">
        <v>5</v>
      </c>
      <c r="V551" s="108">
        <v>0</v>
      </c>
      <c r="W551" s="22" t="s">
        <v>40</v>
      </c>
      <c r="X551" s="22" t="str">
        <f t="shared" si="45"/>
        <v>1HGZ-MA1.18</v>
      </c>
      <c r="Y551" s="22" t="s">
        <v>32</v>
      </c>
      <c r="Z551" s="78"/>
    </row>
    <row r="552" spans="1:26" s="70" customFormat="1" ht="24.95" customHeight="1">
      <c r="A552" s="80"/>
      <c r="B552" s="147">
        <v>45505</v>
      </c>
      <c r="C552" s="146" t="s">
        <v>35</v>
      </c>
      <c r="D552" s="59" t="s">
        <v>20</v>
      </c>
      <c r="E552" s="14" t="str">
        <f t="shared" si="44"/>
        <v>11B</v>
      </c>
      <c r="F552" s="111" t="s">
        <v>24</v>
      </c>
      <c r="G552" s="15" t="s">
        <v>27</v>
      </c>
      <c r="H552" s="111">
        <v>0.8</v>
      </c>
      <c r="I552" s="22" t="s">
        <v>1397</v>
      </c>
      <c r="J552" s="21" t="s">
        <v>1504</v>
      </c>
      <c r="K552" s="21" t="s">
        <v>1504</v>
      </c>
      <c r="L552" s="21" t="s">
        <v>1505</v>
      </c>
      <c r="M552" s="96"/>
      <c r="N552" s="45" t="s">
        <v>1506</v>
      </c>
      <c r="O552" s="23" t="s">
        <v>176</v>
      </c>
      <c r="P552" s="23" t="s">
        <v>273</v>
      </c>
      <c r="Q552" s="88">
        <v>2</v>
      </c>
      <c r="R552" s="66">
        <v>45523</v>
      </c>
      <c r="S552" s="54">
        <v>45527</v>
      </c>
      <c r="T552" s="45" t="s">
        <v>19</v>
      </c>
      <c r="U552" s="100">
        <v>2</v>
      </c>
      <c r="V552" s="108">
        <v>0</v>
      </c>
      <c r="W552" s="22" t="s">
        <v>40</v>
      </c>
      <c r="X552" s="22" t="str">
        <f t="shared" si="45"/>
        <v>2PEW0.8</v>
      </c>
      <c r="Y552" s="22" t="s">
        <v>32</v>
      </c>
      <c r="Z552" s="148"/>
    </row>
    <row r="553" spans="1:26" s="70" customFormat="1" ht="24.95" customHeight="1">
      <c r="A553" s="80"/>
      <c r="B553" s="147">
        <v>45505</v>
      </c>
      <c r="C553" s="146" t="s">
        <v>35</v>
      </c>
      <c r="D553" s="59" t="s">
        <v>20</v>
      </c>
      <c r="E553" s="14" t="str">
        <f t="shared" si="44"/>
        <v>V6A</v>
      </c>
      <c r="F553" s="111" t="s">
        <v>186</v>
      </c>
      <c r="G553" s="15" t="s">
        <v>27</v>
      </c>
      <c r="H553" s="111">
        <v>1.18</v>
      </c>
      <c r="I553" s="22" t="s">
        <v>187</v>
      </c>
      <c r="J553" s="21" t="s">
        <v>951</v>
      </c>
      <c r="K553" s="21" t="s">
        <v>951</v>
      </c>
      <c r="L553" s="21" t="s">
        <v>809</v>
      </c>
      <c r="M553" s="96"/>
      <c r="N553" s="45" t="s">
        <v>1519</v>
      </c>
      <c r="O553" s="23" t="s">
        <v>242</v>
      </c>
      <c r="P553" s="23" t="s">
        <v>38</v>
      </c>
      <c r="Q553" s="88">
        <v>10</v>
      </c>
      <c r="R553" s="66">
        <v>45529</v>
      </c>
      <c r="S553" s="54">
        <v>45532</v>
      </c>
      <c r="T553" s="45" t="s">
        <v>19</v>
      </c>
      <c r="U553" s="100">
        <v>10</v>
      </c>
      <c r="V553" s="108">
        <v>0</v>
      </c>
      <c r="W553" s="22" t="s">
        <v>40</v>
      </c>
      <c r="X553" s="22" t="str">
        <f t="shared" si="45"/>
        <v>1HGZ-MA1.18</v>
      </c>
      <c r="Y553" s="22" t="s">
        <v>32</v>
      </c>
      <c r="Z553" s="148"/>
    </row>
    <row r="554" spans="1:26" s="70" customFormat="1" ht="24.95" customHeight="1">
      <c r="A554" s="80"/>
      <c r="B554" s="147">
        <v>45505</v>
      </c>
      <c r="C554" s="146" t="s">
        <v>35</v>
      </c>
      <c r="D554" s="59" t="s">
        <v>20</v>
      </c>
      <c r="E554" s="14" t="str">
        <f t="shared" si="44"/>
        <v>12A</v>
      </c>
      <c r="F554" s="111" t="s">
        <v>165</v>
      </c>
      <c r="G554" s="15" t="s">
        <v>27</v>
      </c>
      <c r="H554" s="111">
        <v>1.65</v>
      </c>
      <c r="I554" s="22" t="s">
        <v>321</v>
      </c>
      <c r="J554" s="21" t="s">
        <v>1520</v>
      </c>
      <c r="K554" s="21" t="s">
        <v>1521</v>
      </c>
      <c r="L554" s="21" t="s">
        <v>1522</v>
      </c>
      <c r="M554" s="96"/>
      <c r="N554" s="45" t="s">
        <v>1523</v>
      </c>
      <c r="O554" s="23" t="s">
        <v>30</v>
      </c>
      <c r="P554" s="23" t="s">
        <v>38</v>
      </c>
      <c r="Q554" s="88">
        <v>5</v>
      </c>
      <c r="R554" s="66">
        <v>45523</v>
      </c>
      <c r="S554" s="54">
        <v>45531</v>
      </c>
      <c r="T554" s="45" t="s">
        <v>19</v>
      </c>
      <c r="U554" s="100">
        <v>5</v>
      </c>
      <c r="V554" s="108">
        <v>0</v>
      </c>
      <c r="W554" s="22" t="s">
        <v>40</v>
      </c>
      <c r="X554" s="22" t="str">
        <f t="shared" si="45"/>
        <v>2EIWAD-O1.65</v>
      </c>
      <c r="Y554" s="22" t="s">
        <v>32</v>
      </c>
      <c r="Z554" s="148"/>
    </row>
    <row r="555" spans="1:26" s="70" customFormat="1" ht="24.95" customHeight="1">
      <c r="A555" s="80"/>
      <c r="B555" s="147">
        <v>45505</v>
      </c>
      <c r="C555" s="146" t="s">
        <v>35</v>
      </c>
      <c r="D555" s="59" t="s">
        <v>20</v>
      </c>
      <c r="E555" s="14" t="str">
        <f t="shared" si="44"/>
        <v>11A</v>
      </c>
      <c r="F555" s="111" t="s">
        <v>151</v>
      </c>
      <c r="G555" s="15" t="s">
        <v>27</v>
      </c>
      <c r="H555" s="111">
        <v>0.9</v>
      </c>
      <c r="I555" s="22" t="s">
        <v>31</v>
      </c>
      <c r="J555" s="21" t="s">
        <v>562</v>
      </c>
      <c r="K555" s="21" t="s">
        <v>562</v>
      </c>
      <c r="L555" s="21" t="s">
        <v>978</v>
      </c>
      <c r="M555" s="96"/>
      <c r="N555" s="45" t="s">
        <v>1524</v>
      </c>
      <c r="O555" s="23" t="s">
        <v>29</v>
      </c>
      <c r="P555" s="23" t="s">
        <v>256</v>
      </c>
      <c r="Q555" s="88">
        <v>1</v>
      </c>
      <c r="R555" s="66">
        <v>45524</v>
      </c>
      <c r="S555" s="54">
        <v>45531</v>
      </c>
      <c r="T555" s="45" t="s">
        <v>19</v>
      </c>
      <c r="U555" s="100">
        <v>1</v>
      </c>
      <c r="V555" s="108">
        <v>0</v>
      </c>
      <c r="W555" s="22" t="s">
        <v>40</v>
      </c>
      <c r="X555" s="22" t="str">
        <f t="shared" si="45"/>
        <v>D1PEW-B-2Y0.9</v>
      </c>
      <c r="Y555" s="22" t="s">
        <v>32</v>
      </c>
      <c r="Z555" s="148"/>
    </row>
    <row r="556" spans="1:26" s="70" customFormat="1" ht="24.95" customHeight="1">
      <c r="A556" s="80"/>
      <c r="B556" s="147">
        <v>45505</v>
      </c>
      <c r="C556" s="146" t="s">
        <v>35</v>
      </c>
      <c r="D556" s="59" t="s">
        <v>20</v>
      </c>
      <c r="E556" s="14" t="str">
        <f t="shared" si="44"/>
        <v>V8D</v>
      </c>
      <c r="F556" s="111" t="s">
        <v>343</v>
      </c>
      <c r="G556" s="15" t="s">
        <v>27</v>
      </c>
      <c r="H556" s="111">
        <v>1.05</v>
      </c>
      <c r="I556" s="22" t="s">
        <v>25</v>
      </c>
      <c r="J556" s="21" t="s">
        <v>1525</v>
      </c>
      <c r="K556" s="21" t="s">
        <v>1525</v>
      </c>
      <c r="L556" s="21" t="s">
        <v>1526</v>
      </c>
      <c r="M556" s="96"/>
      <c r="N556" s="45" t="s">
        <v>1527</v>
      </c>
      <c r="O556" s="23" t="s">
        <v>39</v>
      </c>
      <c r="P556" s="23" t="s">
        <v>328</v>
      </c>
      <c r="Q556" s="88">
        <v>1</v>
      </c>
      <c r="R556" s="66">
        <v>45527</v>
      </c>
      <c r="S556" s="54">
        <v>45531</v>
      </c>
      <c r="T556" s="45" t="s">
        <v>19</v>
      </c>
      <c r="U556" s="100">
        <v>1</v>
      </c>
      <c r="V556" s="108">
        <v>0</v>
      </c>
      <c r="W556" s="22" t="s">
        <v>40</v>
      </c>
      <c r="X556" s="22" t="str">
        <f t="shared" si="45"/>
        <v>1AIWP1.05</v>
      </c>
      <c r="Y556" s="22" t="s">
        <v>32</v>
      </c>
      <c r="Z556" s="148"/>
    </row>
    <row r="557" spans="1:26" s="70" customFormat="1" ht="24.95" customHeight="1">
      <c r="A557" s="80"/>
      <c r="B557" s="147">
        <v>45505</v>
      </c>
      <c r="C557" s="146" t="s">
        <v>35</v>
      </c>
      <c r="D557" s="59" t="s">
        <v>20</v>
      </c>
      <c r="E557" s="14" t="str">
        <f t="shared" si="44"/>
        <v>V9A</v>
      </c>
      <c r="F557" s="111" t="s">
        <v>23</v>
      </c>
      <c r="G557" s="15" t="s">
        <v>27</v>
      </c>
      <c r="H557" s="111">
        <v>0.95</v>
      </c>
      <c r="I557" s="22" t="s">
        <v>25</v>
      </c>
      <c r="J557" s="21" t="s">
        <v>1528</v>
      </c>
      <c r="K557" s="21" t="s">
        <v>1529</v>
      </c>
      <c r="L557" s="21" t="s">
        <v>1530</v>
      </c>
      <c r="M557" s="96"/>
      <c r="N557" s="45" t="s">
        <v>1531</v>
      </c>
      <c r="O557" s="23" t="s">
        <v>29</v>
      </c>
      <c r="P557" s="23" t="s">
        <v>349</v>
      </c>
      <c r="Q557" s="88">
        <v>7</v>
      </c>
      <c r="R557" s="66">
        <v>45527</v>
      </c>
      <c r="S557" s="54">
        <v>45534</v>
      </c>
      <c r="T557" s="45" t="s">
        <v>19</v>
      </c>
      <c r="U557" s="100">
        <v>7</v>
      </c>
      <c r="V557" s="108">
        <v>0</v>
      </c>
      <c r="W557" s="22" t="s">
        <v>40</v>
      </c>
      <c r="X557" s="22" t="str">
        <f t="shared" si="45"/>
        <v>0FBWSHC0.95</v>
      </c>
      <c r="Y557" s="22" t="s">
        <v>32</v>
      </c>
      <c r="Z557" s="148"/>
    </row>
    <row r="558" spans="1:26" s="70" customFormat="1" ht="24.95" customHeight="1">
      <c r="A558" s="80"/>
      <c r="B558" s="147">
        <v>45505</v>
      </c>
      <c r="C558" s="146" t="s">
        <v>35</v>
      </c>
      <c r="D558" s="59" t="s">
        <v>20</v>
      </c>
      <c r="E558" s="14" t="str">
        <f t="shared" si="44"/>
        <v>VOB</v>
      </c>
      <c r="F558" s="111" t="s">
        <v>42</v>
      </c>
      <c r="G558" s="3" t="s">
        <v>26</v>
      </c>
      <c r="H558" s="111">
        <v>0.75</v>
      </c>
      <c r="I558" s="22" t="s">
        <v>43</v>
      </c>
      <c r="J558" s="21" t="s">
        <v>188</v>
      </c>
      <c r="K558" s="21"/>
      <c r="L558" s="21"/>
      <c r="M558" s="96"/>
      <c r="N558" s="45" t="s">
        <v>1532</v>
      </c>
      <c r="O558" s="23" t="s">
        <v>195</v>
      </c>
      <c r="P558" s="23" t="s">
        <v>273</v>
      </c>
      <c r="Q558" s="88">
        <v>1</v>
      </c>
      <c r="R558" s="66">
        <v>45510</v>
      </c>
      <c r="S558" s="54">
        <v>45533</v>
      </c>
      <c r="T558" s="45" t="s">
        <v>19</v>
      </c>
      <c r="U558" s="100">
        <v>1</v>
      </c>
      <c r="V558" s="108">
        <v>0</v>
      </c>
      <c r="W558" s="22" t="s">
        <v>40</v>
      </c>
      <c r="X558" s="22" t="str">
        <f t="shared" si="45"/>
        <v>D1-PEW-B-2Y0.75</v>
      </c>
      <c r="Y558" s="22" t="s">
        <v>32</v>
      </c>
      <c r="Z558" s="148"/>
    </row>
    <row r="559" spans="1:26" s="70" customFormat="1" ht="24.95" customHeight="1">
      <c r="A559" s="80"/>
      <c r="B559" s="147">
        <v>45505</v>
      </c>
      <c r="C559" s="146" t="s">
        <v>35</v>
      </c>
      <c r="D559" s="59" t="s">
        <v>20</v>
      </c>
      <c r="E559" s="14" t="str">
        <f>IF(B542="","",LEFT(N559,3))</f>
        <v>11B</v>
      </c>
      <c r="F559" s="111" t="s">
        <v>24</v>
      </c>
      <c r="G559" s="15" t="s">
        <v>27</v>
      </c>
      <c r="H559" s="111">
        <v>0.8</v>
      </c>
      <c r="I559" s="22" t="s">
        <v>1397</v>
      </c>
      <c r="J559" s="21" t="s">
        <v>47</v>
      </c>
      <c r="K559" s="21" t="s">
        <v>47</v>
      </c>
      <c r="L559" s="21" t="s">
        <v>1191</v>
      </c>
      <c r="M559" s="96"/>
      <c r="N559" s="45" t="s">
        <v>1533</v>
      </c>
      <c r="O559" s="23" t="s">
        <v>30</v>
      </c>
      <c r="P559" s="23" t="s">
        <v>273</v>
      </c>
      <c r="Q559" s="88">
        <v>1</v>
      </c>
      <c r="R559" s="66">
        <v>45531</v>
      </c>
      <c r="S559" s="54">
        <v>45539</v>
      </c>
      <c r="T559" s="45" t="s">
        <v>19</v>
      </c>
      <c r="U559" s="100">
        <v>1</v>
      </c>
      <c r="V559" s="108">
        <v>0</v>
      </c>
      <c r="W559" s="22" t="s">
        <v>40</v>
      </c>
      <c r="X559" s="22" t="str">
        <f t="shared" si="45"/>
        <v>2PEW0.8</v>
      </c>
      <c r="Y559" s="22" t="s">
        <v>32</v>
      </c>
      <c r="Z559" s="148"/>
    </row>
    <row r="560" spans="1:26" s="70" customFormat="1" ht="24.95" customHeight="1">
      <c r="A560" s="80"/>
      <c r="B560" s="147">
        <v>45505</v>
      </c>
      <c r="C560" s="146" t="s">
        <v>35</v>
      </c>
      <c r="D560" s="59" t="s">
        <v>20</v>
      </c>
      <c r="E560" s="14" t="str">
        <f>IF(B542="","",LEFT(N560,3))</f>
        <v>11A</v>
      </c>
      <c r="F560" s="111" t="s">
        <v>151</v>
      </c>
      <c r="G560" s="15" t="s">
        <v>27</v>
      </c>
      <c r="H560" s="111">
        <v>0.9</v>
      </c>
      <c r="I560" s="22" t="s">
        <v>31</v>
      </c>
      <c r="J560" s="21" t="s">
        <v>47</v>
      </c>
      <c r="K560" s="21" t="s">
        <v>1537</v>
      </c>
      <c r="L560" s="21" t="s">
        <v>1538</v>
      </c>
      <c r="M560" s="96"/>
      <c r="N560" s="45" t="s">
        <v>1539</v>
      </c>
      <c r="O560" s="23" t="s">
        <v>39</v>
      </c>
      <c r="P560" s="23" t="s">
        <v>256</v>
      </c>
      <c r="Q560" s="88">
        <v>1</v>
      </c>
      <c r="R560" s="66">
        <v>45533</v>
      </c>
      <c r="S560" s="54">
        <v>45544</v>
      </c>
      <c r="T560" s="45" t="s">
        <v>19</v>
      </c>
      <c r="U560" s="100">
        <v>1</v>
      </c>
      <c r="V560" s="108">
        <v>0</v>
      </c>
      <c r="W560" s="22" t="s">
        <v>40</v>
      </c>
      <c r="X560" s="22" t="str">
        <f t="shared" si="45"/>
        <v>D1PEW-B-2Y0.9</v>
      </c>
      <c r="Y560" s="22" t="s">
        <v>32</v>
      </c>
      <c r="Z560" s="148"/>
    </row>
    <row r="561" spans="1:28" s="70" customFormat="1" ht="24.95" customHeight="1">
      <c r="A561" s="80"/>
      <c r="B561" s="147">
        <v>45505</v>
      </c>
      <c r="C561" s="146" t="s">
        <v>35</v>
      </c>
      <c r="D561" s="59" t="s">
        <v>20</v>
      </c>
      <c r="E561" s="14" t="str">
        <f t="shared" ref="E561:E567" si="46">IF(B543="","",LEFT(N561,3))</f>
        <v>11B</v>
      </c>
      <c r="F561" s="111" t="s">
        <v>24</v>
      </c>
      <c r="G561" s="15" t="s">
        <v>27</v>
      </c>
      <c r="H561" s="111">
        <v>0.8</v>
      </c>
      <c r="I561" s="22" t="s">
        <v>1397</v>
      </c>
      <c r="J561" s="21" t="s">
        <v>47</v>
      </c>
      <c r="K561" s="21" t="s">
        <v>1537</v>
      </c>
      <c r="L561" s="21" t="s">
        <v>420</v>
      </c>
      <c r="M561" s="96"/>
      <c r="N561" s="45" t="s">
        <v>1540</v>
      </c>
      <c r="O561" s="23" t="s">
        <v>39</v>
      </c>
      <c r="P561" s="23" t="s">
        <v>328</v>
      </c>
      <c r="Q561" s="88">
        <v>1</v>
      </c>
      <c r="R561" s="66">
        <v>45536</v>
      </c>
      <c r="S561" s="54">
        <v>45544</v>
      </c>
      <c r="T561" s="45" t="s">
        <v>19</v>
      </c>
      <c r="U561" s="100">
        <v>1</v>
      </c>
      <c r="V561" s="108">
        <v>0</v>
      </c>
      <c r="W561" s="22" t="s">
        <v>40</v>
      </c>
      <c r="X561" s="22" t="str">
        <f t="shared" si="45"/>
        <v>2PEW0.8</v>
      </c>
      <c r="Y561" s="22" t="s">
        <v>32</v>
      </c>
      <c r="Z561" s="148"/>
    </row>
    <row r="562" spans="1:28" s="70" customFormat="1" ht="24.95" customHeight="1">
      <c r="A562" s="80"/>
      <c r="B562" s="147">
        <v>45505</v>
      </c>
      <c r="C562" s="146" t="s">
        <v>35</v>
      </c>
      <c r="D562" s="59" t="s">
        <v>20</v>
      </c>
      <c r="E562" s="14" t="str">
        <f t="shared" si="46"/>
        <v>VOA</v>
      </c>
      <c r="F562" s="111" t="s">
        <v>259</v>
      </c>
      <c r="G562" s="3" t="s">
        <v>26</v>
      </c>
      <c r="H562" s="111">
        <v>0.56000000000000005</v>
      </c>
      <c r="I562" s="22" t="s">
        <v>31</v>
      </c>
      <c r="J562" s="21" t="s">
        <v>360</v>
      </c>
      <c r="K562" s="21"/>
      <c r="L562" s="21"/>
      <c r="M562" s="96"/>
      <c r="N562" s="45" t="s">
        <v>1541</v>
      </c>
      <c r="O562" s="23" t="s">
        <v>39</v>
      </c>
      <c r="P562" s="23" t="s">
        <v>38</v>
      </c>
      <c r="Q562" s="88">
        <v>15</v>
      </c>
      <c r="R562" s="66">
        <v>45530</v>
      </c>
      <c r="S562" s="54">
        <v>45532</v>
      </c>
      <c r="T562" s="45" t="s">
        <v>19</v>
      </c>
      <c r="U562" s="134">
        <v>15</v>
      </c>
      <c r="V562" s="108">
        <v>0</v>
      </c>
      <c r="W562" s="22" t="s">
        <v>40</v>
      </c>
      <c r="X562" s="22" t="str">
        <f t="shared" si="45"/>
        <v>D1-PEW-B-2T0.56</v>
      </c>
      <c r="Y562" s="22" t="s">
        <v>32</v>
      </c>
      <c r="Z562" s="148"/>
    </row>
    <row r="563" spans="1:28" s="70" customFormat="1" ht="24.95" customHeight="1">
      <c r="A563" s="80"/>
      <c r="B563" s="147">
        <v>45505</v>
      </c>
      <c r="C563" s="146" t="s">
        <v>35</v>
      </c>
      <c r="D563" s="59" t="s">
        <v>20</v>
      </c>
      <c r="E563" s="14" t="str">
        <f t="shared" si="46"/>
        <v>12B</v>
      </c>
      <c r="F563" s="111" t="s">
        <v>529</v>
      </c>
      <c r="G563" s="3" t="s">
        <v>26</v>
      </c>
      <c r="H563" s="111">
        <v>1.7</v>
      </c>
      <c r="I563" s="22" t="s">
        <v>530</v>
      </c>
      <c r="J563" s="21" t="s">
        <v>1147</v>
      </c>
      <c r="K563" s="21" t="s">
        <v>1147</v>
      </c>
      <c r="L563" s="21" t="s">
        <v>1542</v>
      </c>
      <c r="M563" s="96"/>
      <c r="N563" s="45" t="s">
        <v>1543</v>
      </c>
      <c r="O563" s="23" t="s">
        <v>176</v>
      </c>
      <c r="P563" s="23" t="s">
        <v>1544</v>
      </c>
      <c r="Q563" s="88">
        <v>3</v>
      </c>
      <c r="R563" s="66">
        <v>45510</v>
      </c>
      <c r="S563" s="54">
        <v>45527</v>
      </c>
      <c r="T563" s="45" t="s">
        <v>19</v>
      </c>
      <c r="U563" s="100">
        <v>2</v>
      </c>
      <c r="V563" s="108">
        <v>1</v>
      </c>
      <c r="W563" s="22" t="s">
        <v>40</v>
      </c>
      <c r="X563" s="22" t="str">
        <f t="shared" si="45"/>
        <v>1PEW1.7</v>
      </c>
      <c r="Y563" s="22" t="s">
        <v>32</v>
      </c>
      <c r="Z563" s="161" t="s">
        <v>1545</v>
      </c>
      <c r="AA563" s="162"/>
      <c r="AB563" s="162"/>
    </row>
    <row r="564" spans="1:28" s="70" customFormat="1" ht="24.95" customHeight="1">
      <c r="A564" s="80"/>
      <c r="B564" s="147">
        <v>45505</v>
      </c>
      <c r="C564" s="146" t="s">
        <v>35</v>
      </c>
      <c r="D564" s="59" t="s">
        <v>20</v>
      </c>
      <c r="E564" s="14" t="str">
        <f t="shared" si="46"/>
        <v>V8A</v>
      </c>
      <c r="F564" s="111" t="s">
        <v>529</v>
      </c>
      <c r="G564" s="15" t="s">
        <v>27</v>
      </c>
      <c r="H564" s="111">
        <v>1.6</v>
      </c>
      <c r="I564" s="22" t="s">
        <v>530</v>
      </c>
      <c r="J564" s="21" t="s">
        <v>1359</v>
      </c>
      <c r="K564" s="21" t="s">
        <v>1359</v>
      </c>
      <c r="L564" s="21" t="s">
        <v>1546</v>
      </c>
      <c r="M564" s="96"/>
      <c r="N564" s="45" t="s">
        <v>1547</v>
      </c>
      <c r="O564" s="23" t="s">
        <v>56</v>
      </c>
      <c r="P564" s="23" t="s">
        <v>328</v>
      </c>
      <c r="Q564" s="88">
        <v>1</v>
      </c>
      <c r="R564" s="66">
        <v>45513</v>
      </c>
      <c r="S564" s="54">
        <v>45524</v>
      </c>
      <c r="T564" s="45" t="s">
        <v>19</v>
      </c>
      <c r="U564" s="100">
        <v>2</v>
      </c>
      <c r="V564" s="108">
        <v>0</v>
      </c>
      <c r="W564" s="22" t="s">
        <v>40</v>
      </c>
      <c r="X564" s="22" t="str">
        <f t="shared" si="45"/>
        <v>1PEW1.6</v>
      </c>
      <c r="Y564" s="22" t="s">
        <v>32</v>
      </c>
      <c r="Z564" s="148"/>
    </row>
    <row r="565" spans="1:28" s="70" customFormat="1" ht="24.95" customHeight="1">
      <c r="A565" s="80"/>
      <c r="B565" s="147">
        <v>45505</v>
      </c>
      <c r="C565" s="146" t="s">
        <v>35</v>
      </c>
      <c r="D565" s="59" t="s">
        <v>20</v>
      </c>
      <c r="E565" s="14" t="str">
        <f t="shared" si="46"/>
        <v>11A</v>
      </c>
      <c r="F565" s="111" t="s">
        <v>151</v>
      </c>
      <c r="G565" s="15" t="s">
        <v>27</v>
      </c>
      <c r="H565" s="111">
        <v>0.9</v>
      </c>
      <c r="I565" s="22" t="s">
        <v>31</v>
      </c>
      <c r="J565" s="21" t="s">
        <v>1548</v>
      </c>
      <c r="K565" s="55" t="s">
        <v>1549</v>
      </c>
      <c r="L565" s="21" t="s">
        <v>60</v>
      </c>
      <c r="M565" s="96"/>
      <c r="N565" s="45" t="s">
        <v>1550</v>
      </c>
      <c r="O565" s="23" t="s">
        <v>195</v>
      </c>
      <c r="P565" s="23" t="s">
        <v>328</v>
      </c>
      <c r="Q565" s="88">
        <v>1</v>
      </c>
      <c r="R565" s="66">
        <v>45521</v>
      </c>
      <c r="S565" s="54" t="s">
        <v>1551</v>
      </c>
      <c r="T565" s="45" t="s">
        <v>19</v>
      </c>
      <c r="U565" s="100">
        <v>1</v>
      </c>
      <c r="V565" s="108">
        <v>0</v>
      </c>
      <c r="W565" s="22" t="s">
        <v>40</v>
      </c>
      <c r="X565" s="22" t="str">
        <f t="shared" si="45"/>
        <v>D1PEW-B-2Y0.9</v>
      </c>
      <c r="Y565" s="22" t="s">
        <v>32</v>
      </c>
      <c r="Z565" s="148"/>
    </row>
    <row r="566" spans="1:28" s="70" customFormat="1" ht="24.95" customHeight="1">
      <c r="A566" s="80"/>
      <c r="B566" s="147">
        <v>45505</v>
      </c>
      <c r="C566" s="146" t="s">
        <v>35</v>
      </c>
      <c r="D566" s="59" t="s">
        <v>20</v>
      </c>
      <c r="E566" s="14" t="str">
        <f t="shared" si="46"/>
        <v>11B</v>
      </c>
      <c r="F566" s="111" t="s">
        <v>24</v>
      </c>
      <c r="G566" s="3" t="s">
        <v>26</v>
      </c>
      <c r="H566" s="111">
        <v>0.8</v>
      </c>
      <c r="I566" s="22" t="s">
        <v>1397</v>
      </c>
      <c r="J566" s="21" t="s">
        <v>740</v>
      </c>
      <c r="K566" s="21" t="s">
        <v>740</v>
      </c>
      <c r="L566" s="21" t="s">
        <v>1602</v>
      </c>
      <c r="M566" s="96"/>
      <c r="N566" s="45" t="s">
        <v>1533</v>
      </c>
      <c r="O566" s="23" t="s">
        <v>29</v>
      </c>
      <c r="P566" s="23" t="s">
        <v>250</v>
      </c>
      <c r="Q566" s="88">
        <v>1</v>
      </c>
      <c r="R566" s="66">
        <v>45531</v>
      </c>
      <c r="S566" s="54">
        <v>45554</v>
      </c>
      <c r="T566" s="45" t="s">
        <v>19</v>
      </c>
      <c r="U566" s="100">
        <v>0</v>
      </c>
      <c r="V566" s="108">
        <v>1</v>
      </c>
      <c r="W566" s="22" t="s">
        <v>40</v>
      </c>
      <c r="X566" s="22" t="str">
        <f t="shared" si="45"/>
        <v>2PEW0.8</v>
      </c>
      <c r="Y566" s="22" t="s">
        <v>182</v>
      </c>
      <c r="Z566" s="148"/>
    </row>
    <row r="567" spans="1:28" s="70" customFormat="1" ht="24.95" customHeight="1">
      <c r="A567" s="80"/>
      <c r="B567" s="147">
        <v>45505</v>
      </c>
      <c r="C567" s="146" t="s">
        <v>35</v>
      </c>
      <c r="D567" s="59" t="s">
        <v>20</v>
      </c>
      <c r="E567" s="14" t="str">
        <f t="shared" si="46"/>
        <v>11B</v>
      </c>
      <c r="F567" s="111" t="s">
        <v>24</v>
      </c>
      <c r="G567" s="3" t="s">
        <v>26</v>
      </c>
      <c r="H567" s="111">
        <v>0.8</v>
      </c>
      <c r="I567" s="22" t="s">
        <v>1397</v>
      </c>
      <c r="J567" s="21" t="s">
        <v>45</v>
      </c>
      <c r="K567" s="21" t="s">
        <v>45</v>
      </c>
      <c r="L567" s="21" t="s">
        <v>736</v>
      </c>
      <c r="M567" s="96"/>
      <c r="N567" s="45" t="s">
        <v>1603</v>
      </c>
      <c r="O567" s="23" t="s">
        <v>29</v>
      </c>
      <c r="P567" s="23" t="s">
        <v>328</v>
      </c>
      <c r="Q567" s="88">
        <v>1</v>
      </c>
      <c r="R567" s="66">
        <v>45533</v>
      </c>
      <c r="S567" s="54">
        <v>45552</v>
      </c>
      <c r="T567" s="45" t="s">
        <v>19</v>
      </c>
      <c r="U567" s="100">
        <v>1</v>
      </c>
      <c r="V567" s="108">
        <v>0</v>
      </c>
      <c r="W567" s="22" t="s">
        <v>40</v>
      </c>
      <c r="X567" s="22" t="str">
        <f t="shared" si="45"/>
        <v>2PEW0.8</v>
      </c>
      <c r="Y567" s="22" t="s">
        <v>32</v>
      </c>
      <c r="Z567" s="148"/>
    </row>
    <row r="568" spans="1:28" s="70" customFormat="1" ht="24.95" customHeight="1">
      <c r="A568" s="80"/>
      <c r="B568" s="147">
        <v>45505</v>
      </c>
      <c r="C568" s="146" t="s">
        <v>35</v>
      </c>
      <c r="D568" s="59" t="s">
        <v>20</v>
      </c>
      <c r="E568" s="14"/>
      <c r="F568" s="111" t="s">
        <v>151</v>
      </c>
      <c r="G568" s="3" t="s">
        <v>26</v>
      </c>
      <c r="H568" s="111">
        <v>0.9</v>
      </c>
      <c r="I568" s="22" t="s">
        <v>31</v>
      </c>
      <c r="J568" s="21" t="s">
        <v>45</v>
      </c>
      <c r="K568" s="21" t="s">
        <v>45</v>
      </c>
      <c r="L568" s="21" t="s">
        <v>1677</v>
      </c>
      <c r="M568" s="96"/>
      <c r="N568" s="45" t="s">
        <v>1678</v>
      </c>
      <c r="O568" s="23" t="s">
        <v>29</v>
      </c>
      <c r="P568" s="23" t="s">
        <v>250</v>
      </c>
      <c r="Q568" s="88">
        <v>1</v>
      </c>
      <c r="R568" s="66">
        <v>45523</v>
      </c>
      <c r="S568" s="54">
        <v>45565</v>
      </c>
      <c r="T568" s="45" t="s">
        <v>19</v>
      </c>
      <c r="U568" s="100">
        <v>1</v>
      </c>
      <c r="V568" s="108">
        <v>0</v>
      </c>
      <c r="W568" s="22" t="s">
        <v>40</v>
      </c>
      <c r="X568" s="22" t="str">
        <f t="shared" si="45"/>
        <v>D1PEW-B-2Y0.9</v>
      </c>
      <c r="Y568" s="22" t="s">
        <v>32</v>
      </c>
      <c r="Z568" s="148"/>
    </row>
    <row r="569" spans="1:28" s="70" customFormat="1" ht="24.95" customHeight="1">
      <c r="A569" s="80"/>
      <c r="B569" s="147">
        <v>45505</v>
      </c>
      <c r="C569" s="149" t="s">
        <v>51</v>
      </c>
      <c r="D569" s="59" t="s">
        <v>20</v>
      </c>
      <c r="E569" s="14" t="str">
        <f>IF(B548="","",LEFT(N569,3))</f>
        <v>H1B</v>
      </c>
      <c r="F569" s="111" t="s">
        <v>52</v>
      </c>
      <c r="G569" s="3" t="s">
        <v>26</v>
      </c>
      <c r="H569" s="111">
        <v>0.26</v>
      </c>
      <c r="I569" s="22" t="s">
        <v>43</v>
      </c>
      <c r="J569" s="21" t="s">
        <v>1487</v>
      </c>
      <c r="K569" s="21" t="s">
        <v>657</v>
      </c>
      <c r="L569" s="125" t="s">
        <v>1488</v>
      </c>
      <c r="M569" s="96"/>
      <c r="N569" s="45" t="s">
        <v>1489</v>
      </c>
      <c r="O569" s="23" t="s">
        <v>30</v>
      </c>
      <c r="P569" s="23" t="s">
        <v>1062</v>
      </c>
      <c r="Q569" s="88">
        <v>2</v>
      </c>
      <c r="R569" s="66">
        <v>45512</v>
      </c>
      <c r="S569" s="54">
        <v>45523</v>
      </c>
      <c r="T569" s="45" t="s">
        <v>19</v>
      </c>
      <c r="U569" s="100">
        <v>2</v>
      </c>
      <c r="V569" s="108">
        <v>0</v>
      </c>
      <c r="W569" s="22" t="s">
        <v>40</v>
      </c>
      <c r="X569" s="22" t="str">
        <f t="shared" si="45"/>
        <v>D2IDW4-B-20.26</v>
      </c>
      <c r="Y569" s="22" t="s">
        <v>32</v>
      </c>
      <c r="Z569" s="78"/>
    </row>
    <row r="570" spans="1:28" s="70" customFormat="1" ht="24.95" customHeight="1">
      <c r="A570" s="80"/>
      <c r="B570" s="147">
        <v>45505</v>
      </c>
      <c r="C570" s="149" t="s">
        <v>51</v>
      </c>
      <c r="D570" s="59" t="s">
        <v>20</v>
      </c>
      <c r="E570" s="14" t="str">
        <f>IF(B533="","",LEFT(N570,3))</f>
        <v>H1B</v>
      </c>
      <c r="F570" s="111" t="s">
        <v>52</v>
      </c>
      <c r="G570" s="3" t="s">
        <v>26</v>
      </c>
      <c r="H570" s="111">
        <v>0.26</v>
      </c>
      <c r="I570" s="22" t="s">
        <v>43</v>
      </c>
      <c r="J570" s="21" t="s">
        <v>221</v>
      </c>
      <c r="K570" s="21"/>
      <c r="L570" s="125" t="s">
        <v>502</v>
      </c>
      <c r="M570" s="96"/>
      <c r="N570" s="45" t="s">
        <v>1490</v>
      </c>
      <c r="O570" s="23" t="s">
        <v>30</v>
      </c>
      <c r="P570" s="23" t="s">
        <v>1491</v>
      </c>
      <c r="Q570" s="88">
        <v>3</v>
      </c>
      <c r="R570" s="66">
        <v>45511</v>
      </c>
      <c r="S570" s="54">
        <v>45523</v>
      </c>
      <c r="T570" s="45" t="s">
        <v>19</v>
      </c>
      <c r="U570" s="100">
        <v>3</v>
      </c>
      <c r="V570" s="108">
        <v>0</v>
      </c>
      <c r="W570" s="22" t="s">
        <v>40</v>
      </c>
      <c r="X570" s="22" t="str">
        <f t="shared" si="45"/>
        <v>D2IDW4-B-20.26</v>
      </c>
      <c r="Y570" s="22" t="s">
        <v>32</v>
      </c>
      <c r="Z570" s="78"/>
    </row>
    <row r="571" spans="1:28" s="70" customFormat="1" ht="24.95" customHeight="1">
      <c r="A571" s="80"/>
      <c r="B571" s="147">
        <v>45505</v>
      </c>
      <c r="C571" s="149" t="s">
        <v>51</v>
      </c>
      <c r="D571" s="59" t="s">
        <v>20</v>
      </c>
      <c r="E571" s="14" t="str">
        <f t="shared" ref="E571:E580" si="47">IF(B532="","",LEFT(N571,3))</f>
        <v>H1B</v>
      </c>
      <c r="F571" s="111" t="s">
        <v>52</v>
      </c>
      <c r="G571" s="3" t="s">
        <v>26</v>
      </c>
      <c r="H571" s="111">
        <v>0.26</v>
      </c>
      <c r="I571" s="22" t="s">
        <v>43</v>
      </c>
      <c r="J571" s="21" t="s">
        <v>1492</v>
      </c>
      <c r="K571" s="21"/>
      <c r="L571" s="125" t="s">
        <v>761</v>
      </c>
      <c r="M571" s="96"/>
      <c r="N571" s="45" t="s">
        <v>1493</v>
      </c>
      <c r="O571" s="23" t="s">
        <v>29</v>
      </c>
      <c r="P571" s="23" t="s">
        <v>250</v>
      </c>
      <c r="Q571" s="88">
        <v>1</v>
      </c>
      <c r="R571" s="66">
        <v>45515</v>
      </c>
      <c r="S571" s="54">
        <v>45523</v>
      </c>
      <c r="T571" s="45" t="s">
        <v>19</v>
      </c>
      <c r="U571" s="100">
        <v>1</v>
      </c>
      <c r="V571" s="108">
        <v>0</v>
      </c>
      <c r="W571" s="22" t="s">
        <v>40</v>
      </c>
      <c r="X571" s="22" t="str">
        <f t="shared" si="45"/>
        <v>D2IDW4-B-20.26</v>
      </c>
      <c r="Y571" s="22" t="s">
        <v>32</v>
      </c>
      <c r="Z571" s="78"/>
    </row>
    <row r="572" spans="1:28" s="70" customFormat="1" ht="24.95" customHeight="1">
      <c r="A572" s="80"/>
      <c r="B572" s="147">
        <v>45505</v>
      </c>
      <c r="C572" s="149" t="s">
        <v>51</v>
      </c>
      <c r="D572" s="59" t="s">
        <v>20</v>
      </c>
      <c r="E572" s="14" t="str">
        <f t="shared" si="47"/>
        <v>H1B</v>
      </c>
      <c r="F572" s="111" t="s">
        <v>52</v>
      </c>
      <c r="G572" s="3" t="s">
        <v>26</v>
      </c>
      <c r="H572" s="111">
        <v>0.26</v>
      </c>
      <c r="I572" s="22" t="s">
        <v>43</v>
      </c>
      <c r="J572" s="21" t="s">
        <v>1492</v>
      </c>
      <c r="K572" s="21"/>
      <c r="L572" s="125" t="s">
        <v>1494</v>
      </c>
      <c r="M572" s="96"/>
      <c r="N572" s="45" t="s">
        <v>1489</v>
      </c>
      <c r="O572" s="23" t="s">
        <v>29</v>
      </c>
      <c r="P572" s="23" t="s">
        <v>273</v>
      </c>
      <c r="Q572" s="88">
        <v>1</v>
      </c>
      <c r="R572" s="66">
        <v>45513</v>
      </c>
      <c r="S572" s="54">
        <v>45523</v>
      </c>
      <c r="T572" s="45" t="s">
        <v>19</v>
      </c>
      <c r="U572" s="100">
        <v>1</v>
      </c>
      <c r="V572" s="108">
        <v>0</v>
      </c>
      <c r="W572" s="22" t="s">
        <v>40</v>
      </c>
      <c r="X572" s="22" t="str">
        <f t="shared" si="45"/>
        <v>D2IDW4-B-20.26</v>
      </c>
      <c r="Y572" s="22" t="s">
        <v>32</v>
      </c>
      <c r="Z572" s="78"/>
    </row>
    <row r="573" spans="1:28" s="70" customFormat="1" ht="24.95" customHeight="1">
      <c r="A573" s="80"/>
      <c r="B573" s="147">
        <v>45505</v>
      </c>
      <c r="C573" s="149" t="s">
        <v>51</v>
      </c>
      <c r="D573" s="59" t="s">
        <v>20</v>
      </c>
      <c r="E573" s="14" t="str">
        <f t="shared" si="47"/>
        <v>H1A</v>
      </c>
      <c r="F573" s="111" t="s">
        <v>52</v>
      </c>
      <c r="G573" s="3" t="s">
        <v>26</v>
      </c>
      <c r="H573" s="111">
        <v>0.26</v>
      </c>
      <c r="I573" s="22" t="s">
        <v>43</v>
      </c>
      <c r="J573" s="21" t="s">
        <v>53</v>
      </c>
      <c r="K573" s="21"/>
      <c r="L573" s="125" t="s">
        <v>761</v>
      </c>
      <c r="M573" s="96"/>
      <c r="N573" s="45" t="s">
        <v>1495</v>
      </c>
      <c r="O573" s="23" t="s">
        <v>30</v>
      </c>
      <c r="P573" s="23" t="s">
        <v>250</v>
      </c>
      <c r="Q573" s="88">
        <v>1</v>
      </c>
      <c r="R573" s="66">
        <v>45513</v>
      </c>
      <c r="S573" s="54">
        <v>45523</v>
      </c>
      <c r="T573" s="45" t="s">
        <v>19</v>
      </c>
      <c r="U573" s="100">
        <v>1</v>
      </c>
      <c r="V573" s="108">
        <v>0</v>
      </c>
      <c r="W573" s="22" t="s">
        <v>40</v>
      </c>
      <c r="X573" s="22" t="str">
        <f t="shared" si="45"/>
        <v>D2IDW4-B-20.26</v>
      </c>
      <c r="Y573" s="22" t="s">
        <v>32</v>
      </c>
      <c r="Z573" s="78"/>
    </row>
    <row r="574" spans="1:28" s="70" customFormat="1" ht="24.95" customHeight="1">
      <c r="A574" s="80"/>
      <c r="B574" s="147">
        <v>45505</v>
      </c>
      <c r="C574" s="149" t="s">
        <v>51</v>
      </c>
      <c r="D574" s="59" t="s">
        <v>20</v>
      </c>
      <c r="E574" s="14" t="str">
        <f t="shared" si="47"/>
        <v>H77</v>
      </c>
      <c r="F574" s="111" t="s">
        <v>976</v>
      </c>
      <c r="G574" s="3" t="s">
        <v>26</v>
      </c>
      <c r="H574" s="111">
        <v>0.12</v>
      </c>
      <c r="I574" s="22" t="s">
        <v>983</v>
      </c>
      <c r="J574" s="21" t="s">
        <v>207</v>
      </c>
      <c r="K574" s="21" t="s">
        <v>207</v>
      </c>
      <c r="L574" s="125" t="s">
        <v>1507</v>
      </c>
      <c r="M574" s="96"/>
      <c r="N574" s="45" t="s">
        <v>1508</v>
      </c>
      <c r="O574" s="23" t="s">
        <v>30</v>
      </c>
      <c r="P574" s="23" t="s">
        <v>1026</v>
      </c>
      <c r="Q574" s="88">
        <v>1</v>
      </c>
      <c r="R574" s="66">
        <v>45515</v>
      </c>
      <c r="S574" s="54">
        <v>45527</v>
      </c>
      <c r="T574" s="45" t="s">
        <v>19</v>
      </c>
      <c r="U574" s="100">
        <v>0</v>
      </c>
      <c r="V574" s="108">
        <v>1</v>
      </c>
      <c r="W574" s="22" t="s">
        <v>40</v>
      </c>
      <c r="X574" s="22" t="str">
        <f t="shared" si="45"/>
        <v>1FBWHCS0.12</v>
      </c>
      <c r="Y574" s="22" t="s">
        <v>182</v>
      </c>
      <c r="Z574" s="78"/>
    </row>
    <row r="575" spans="1:28" s="70" customFormat="1" ht="24.95" customHeight="1">
      <c r="A575" s="80"/>
      <c r="B575" s="147">
        <v>45505</v>
      </c>
      <c r="C575" s="149" t="s">
        <v>51</v>
      </c>
      <c r="D575" s="59" t="s">
        <v>20</v>
      </c>
      <c r="E575" s="14" t="str">
        <f t="shared" si="47"/>
        <v>H77</v>
      </c>
      <c r="F575" s="111" t="s">
        <v>976</v>
      </c>
      <c r="G575" s="3" t="s">
        <v>26</v>
      </c>
      <c r="H575" s="111">
        <v>0.12</v>
      </c>
      <c r="I575" s="22" t="s">
        <v>983</v>
      </c>
      <c r="J575" s="21" t="s">
        <v>162</v>
      </c>
      <c r="K575" s="21" t="s">
        <v>162</v>
      </c>
      <c r="L575" s="125" t="s">
        <v>1509</v>
      </c>
      <c r="M575" s="96"/>
      <c r="N575" s="45" t="s">
        <v>1510</v>
      </c>
      <c r="O575" s="23" t="s">
        <v>30</v>
      </c>
      <c r="P575" s="23" t="s">
        <v>1511</v>
      </c>
      <c r="Q575" s="88">
        <v>1</v>
      </c>
      <c r="R575" s="66">
        <v>45515</v>
      </c>
      <c r="S575" s="54">
        <v>45527</v>
      </c>
      <c r="T575" s="45" t="s">
        <v>19</v>
      </c>
      <c r="U575" s="100">
        <v>1</v>
      </c>
      <c r="V575" s="108">
        <v>0</v>
      </c>
      <c r="W575" s="22" t="s">
        <v>40</v>
      </c>
      <c r="X575" s="22" t="str">
        <f t="shared" si="45"/>
        <v>1FBWHCS0.12</v>
      </c>
      <c r="Y575" s="22" t="s">
        <v>32</v>
      </c>
      <c r="Z575" s="78"/>
    </row>
    <row r="576" spans="1:28" s="70" customFormat="1" ht="24.95" customHeight="1">
      <c r="A576" s="80"/>
      <c r="B576" s="147">
        <v>45505</v>
      </c>
      <c r="C576" s="149" t="s">
        <v>51</v>
      </c>
      <c r="D576" s="59" t="s">
        <v>20</v>
      </c>
      <c r="E576" s="14" t="str">
        <f t="shared" si="47"/>
        <v>H4A</v>
      </c>
      <c r="F576" s="111" t="s">
        <v>429</v>
      </c>
      <c r="G576" s="3" t="s">
        <v>26</v>
      </c>
      <c r="H576" s="111">
        <v>0.42</v>
      </c>
      <c r="I576" s="22" t="s">
        <v>430</v>
      </c>
      <c r="J576" s="21" t="s">
        <v>763</v>
      </c>
      <c r="K576" s="21"/>
      <c r="L576" s="125" t="s">
        <v>1512</v>
      </c>
      <c r="M576" s="96"/>
      <c r="N576" s="45" t="s">
        <v>1513</v>
      </c>
      <c r="O576" s="23" t="s">
        <v>485</v>
      </c>
      <c r="P576" s="23" t="s">
        <v>328</v>
      </c>
      <c r="Q576" s="88">
        <v>3</v>
      </c>
      <c r="R576" s="66">
        <v>45525</v>
      </c>
      <c r="S576" s="54">
        <v>45527</v>
      </c>
      <c r="T576" s="45" t="s">
        <v>19</v>
      </c>
      <c r="U576" s="100">
        <v>3</v>
      </c>
      <c r="V576" s="108">
        <v>0</v>
      </c>
      <c r="W576" s="22" t="s">
        <v>40</v>
      </c>
      <c r="X576" s="22" t="str">
        <f t="shared" si="45"/>
        <v>2-ATZ-3000.42</v>
      </c>
      <c r="Y576" s="22" t="s">
        <v>32</v>
      </c>
      <c r="Z576" s="78"/>
    </row>
    <row r="577" spans="1:28" s="70" customFormat="1" ht="24.95" customHeight="1">
      <c r="A577" s="80"/>
      <c r="B577" s="147">
        <v>45505</v>
      </c>
      <c r="C577" s="149" t="s">
        <v>51</v>
      </c>
      <c r="D577" s="59" t="s">
        <v>20</v>
      </c>
      <c r="E577" s="14" t="str">
        <f t="shared" si="47"/>
        <v>H5B</v>
      </c>
      <c r="F577" s="111" t="s">
        <v>482</v>
      </c>
      <c r="G577" s="3" t="s">
        <v>26</v>
      </c>
      <c r="H577" s="111">
        <v>0.21</v>
      </c>
      <c r="I577" s="22" t="s">
        <v>25</v>
      </c>
      <c r="J577" s="21" t="s">
        <v>274</v>
      </c>
      <c r="K577" s="21" t="s">
        <v>918</v>
      </c>
      <c r="L577" s="125" t="s">
        <v>1514</v>
      </c>
      <c r="M577" s="96"/>
      <c r="N577" s="45" t="s">
        <v>1515</v>
      </c>
      <c r="O577" s="23" t="s">
        <v>176</v>
      </c>
      <c r="P577" s="23" t="s">
        <v>328</v>
      </c>
      <c r="Q577" s="88">
        <v>2</v>
      </c>
      <c r="R577" s="66">
        <v>45520</v>
      </c>
      <c r="S577" s="54">
        <v>45527</v>
      </c>
      <c r="T577" s="45" t="s">
        <v>19</v>
      </c>
      <c r="U577" s="100">
        <v>0</v>
      </c>
      <c r="V577" s="108">
        <v>2</v>
      </c>
      <c r="W577" s="22" t="s">
        <v>40</v>
      </c>
      <c r="X577" s="22" t="str">
        <f t="shared" si="45"/>
        <v>2AIW0.21</v>
      </c>
      <c r="Y577" s="22" t="s">
        <v>182</v>
      </c>
      <c r="Z577" s="78"/>
    </row>
    <row r="578" spans="1:28" s="70" customFormat="1" ht="24.95" customHeight="1">
      <c r="A578" s="80"/>
      <c r="B578" s="147">
        <v>45505</v>
      </c>
      <c r="C578" s="149" t="s">
        <v>51</v>
      </c>
      <c r="D578" s="59" t="s">
        <v>20</v>
      </c>
      <c r="E578" s="14" t="str">
        <f t="shared" si="47"/>
        <v>H4B</v>
      </c>
      <c r="F578" s="111" t="s">
        <v>429</v>
      </c>
      <c r="G578" s="3" t="s">
        <v>26</v>
      </c>
      <c r="H578" s="111">
        <v>0.42</v>
      </c>
      <c r="I578" s="22" t="s">
        <v>430</v>
      </c>
      <c r="J578" s="21" t="s">
        <v>763</v>
      </c>
      <c r="K578" s="21"/>
      <c r="L578" s="125" t="s">
        <v>1512</v>
      </c>
      <c r="M578" s="96"/>
      <c r="N578" s="45" t="s">
        <v>1516</v>
      </c>
      <c r="O578" s="23" t="s">
        <v>485</v>
      </c>
      <c r="P578" s="23" t="s">
        <v>328</v>
      </c>
      <c r="Q578" s="88">
        <v>3</v>
      </c>
      <c r="R578" s="66">
        <v>45525</v>
      </c>
      <c r="S578" s="54">
        <v>45527</v>
      </c>
      <c r="T578" s="45" t="s">
        <v>19</v>
      </c>
      <c r="U578" s="100">
        <v>3</v>
      </c>
      <c r="V578" s="108">
        <v>0</v>
      </c>
      <c r="W578" s="22" t="s">
        <v>40</v>
      </c>
      <c r="X578" s="22" t="str">
        <f t="shared" si="45"/>
        <v>2-ATZ-3000.42</v>
      </c>
      <c r="Y578" s="22" t="s">
        <v>32</v>
      </c>
      <c r="Z578" s="78"/>
    </row>
    <row r="579" spans="1:28" s="70" customFormat="1" ht="24.95" customHeight="1">
      <c r="A579" s="80"/>
      <c r="B579" s="147">
        <v>45505</v>
      </c>
      <c r="C579" s="149" t="s">
        <v>51</v>
      </c>
      <c r="D579" s="59" t="s">
        <v>20</v>
      </c>
      <c r="E579" s="14" t="str">
        <f t="shared" si="47"/>
        <v>H4A</v>
      </c>
      <c r="F579" s="111" t="s">
        <v>429</v>
      </c>
      <c r="G579" s="3" t="s">
        <v>26</v>
      </c>
      <c r="H579" s="111">
        <v>0.42</v>
      </c>
      <c r="I579" s="22" t="s">
        <v>1518</v>
      </c>
      <c r="J579" s="21" t="s">
        <v>763</v>
      </c>
      <c r="K579" s="21"/>
      <c r="L579" s="125" t="s">
        <v>1517</v>
      </c>
      <c r="M579" s="96"/>
      <c r="N579" s="45" t="s">
        <v>1513</v>
      </c>
      <c r="O579" s="23" t="s">
        <v>56</v>
      </c>
      <c r="P579" s="23" t="s">
        <v>328</v>
      </c>
      <c r="Q579" s="88">
        <v>2</v>
      </c>
      <c r="R579" s="66">
        <v>45525</v>
      </c>
      <c r="S579" s="54">
        <v>45527</v>
      </c>
      <c r="T579" s="45" t="s">
        <v>19</v>
      </c>
      <c r="U579" s="100">
        <v>2</v>
      </c>
      <c r="V579" s="108">
        <v>0</v>
      </c>
      <c r="W579" s="22" t="s">
        <v>40</v>
      </c>
      <c r="X579" s="22" t="str">
        <f t="shared" si="45"/>
        <v>2-ATZ-3000.42</v>
      </c>
      <c r="Y579" s="22" t="s">
        <v>32</v>
      </c>
      <c r="Z579" s="78"/>
    </row>
    <row r="580" spans="1:28" s="70" customFormat="1" ht="24.95" customHeight="1">
      <c r="A580" s="80"/>
      <c r="B580" s="147">
        <v>45505</v>
      </c>
      <c r="C580" s="149" t="s">
        <v>51</v>
      </c>
      <c r="D580" s="59" t="s">
        <v>20</v>
      </c>
      <c r="E580" s="14" t="str">
        <f t="shared" si="47"/>
        <v>H4B</v>
      </c>
      <c r="F580" s="111" t="s">
        <v>429</v>
      </c>
      <c r="G580" s="3" t="s">
        <v>26</v>
      </c>
      <c r="H580" s="111">
        <v>0.42</v>
      </c>
      <c r="I580" s="22" t="s">
        <v>1518</v>
      </c>
      <c r="J580" s="21" t="s">
        <v>763</v>
      </c>
      <c r="K580" s="21" t="s">
        <v>763</v>
      </c>
      <c r="L580" s="125" t="s">
        <v>1517</v>
      </c>
      <c r="M580" s="96"/>
      <c r="N580" s="45" t="s">
        <v>1516</v>
      </c>
      <c r="O580" s="23" t="s">
        <v>56</v>
      </c>
      <c r="P580" s="23" t="s">
        <v>328</v>
      </c>
      <c r="Q580" s="88">
        <v>2</v>
      </c>
      <c r="R580" s="66">
        <v>45525</v>
      </c>
      <c r="S580" s="54">
        <v>45527</v>
      </c>
      <c r="T580" s="45" t="s">
        <v>19</v>
      </c>
      <c r="U580" s="100">
        <v>2</v>
      </c>
      <c r="V580" s="108">
        <v>0</v>
      </c>
      <c r="W580" s="22" t="s">
        <v>40</v>
      </c>
      <c r="X580" s="22" t="str">
        <f t="shared" si="45"/>
        <v>2-ATZ-3000.42</v>
      </c>
      <c r="Y580" s="22" t="s">
        <v>32</v>
      </c>
      <c r="Z580" s="78"/>
    </row>
    <row r="581" spans="1:28" s="70" customFormat="1" ht="24.95" customHeight="1">
      <c r="A581" s="80"/>
      <c r="B581" s="147">
        <v>45505</v>
      </c>
      <c r="C581" s="149" t="s">
        <v>51</v>
      </c>
      <c r="D581" s="59" t="s">
        <v>20</v>
      </c>
      <c r="E581" s="14" t="str">
        <f>IF(B541="","",LEFT(N581,3))</f>
        <v>H76</v>
      </c>
      <c r="F581" s="111" t="s">
        <v>482</v>
      </c>
      <c r="G581" s="3" t="s">
        <v>26</v>
      </c>
      <c r="H581" s="111">
        <v>0.16</v>
      </c>
      <c r="I581" s="22" t="s">
        <v>302</v>
      </c>
      <c r="J581" s="21" t="s">
        <v>657</v>
      </c>
      <c r="K581" s="21" t="s">
        <v>763</v>
      </c>
      <c r="L581" s="125" t="s">
        <v>1534</v>
      </c>
      <c r="M581" s="150"/>
      <c r="N581" s="23" t="s">
        <v>1535</v>
      </c>
      <c r="O581" s="23" t="s">
        <v>30</v>
      </c>
      <c r="P581" s="23" t="s">
        <v>1536</v>
      </c>
      <c r="Q581" s="88">
        <v>1</v>
      </c>
      <c r="R581" s="66">
        <v>45530</v>
      </c>
      <c r="S581" s="54">
        <v>45544</v>
      </c>
      <c r="T581" s="45" t="s">
        <v>19</v>
      </c>
      <c r="U581" s="100">
        <v>1</v>
      </c>
      <c r="V581" s="108">
        <v>0</v>
      </c>
      <c r="W581" s="22" t="s">
        <v>40</v>
      </c>
      <c r="X581" s="22" t="str">
        <f t="shared" ref="X581:X638" si="48">F581&amp;H581</f>
        <v>2AIW0.16</v>
      </c>
      <c r="Y581" s="22" t="s">
        <v>32</v>
      </c>
      <c r="Z581" s="78"/>
    </row>
    <row r="582" spans="1:28" s="70" customFormat="1" ht="24.95" customHeight="1">
      <c r="A582" s="80"/>
      <c r="B582" s="147">
        <v>45505</v>
      </c>
      <c r="C582" s="149" t="s">
        <v>51</v>
      </c>
      <c r="D582" s="59" t="s">
        <v>20</v>
      </c>
      <c r="E582" s="14" t="str">
        <f>IF(B542="","",LEFT(N582,3))</f>
        <v>H76</v>
      </c>
      <c r="F582" s="111" t="s">
        <v>482</v>
      </c>
      <c r="G582" s="3" t="s">
        <v>26</v>
      </c>
      <c r="H582" s="111">
        <v>0.16</v>
      </c>
      <c r="I582" s="22" t="s">
        <v>302</v>
      </c>
      <c r="J582" s="21" t="s">
        <v>162</v>
      </c>
      <c r="K582" s="21" t="s">
        <v>162</v>
      </c>
      <c r="L582" s="125" t="s">
        <v>1604</v>
      </c>
      <c r="M582" s="150"/>
      <c r="N582" s="23" t="s">
        <v>1605</v>
      </c>
      <c r="O582" s="23" t="s">
        <v>29</v>
      </c>
      <c r="P582" s="23" t="s">
        <v>1606</v>
      </c>
      <c r="Q582" s="88">
        <v>1</v>
      </c>
      <c r="R582" s="66">
        <v>45527</v>
      </c>
      <c r="S582" s="54">
        <v>45545</v>
      </c>
      <c r="T582" s="45" t="s">
        <v>19</v>
      </c>
      <c r="U582" s="100">
        <v>1</v>
      </c>
      <c r="V582" s="108">
        <v>0</v>
      </c>
      <c r="W582" s="22" t="s">
        <v>40</v>
      </c>
      <c r="X582" s="22" t="str">
        <f t="shared" si="48"/>
        <v>2AIW0.16</v>
      </c>
      <c r="Y582" s="22" t="s">
        <v>32</v>
      </c>
      <c r="Z582" s="78"/>
    </row>
    <row r="583" spans="1:28" s="70" customFormat="1" ht="24.95" customHeight="1">
      <c r="A583" s="80"/>
      <c r="B583" s="147">
        <v>45536</v>
      </c>
      <c r="C583" s="146" t="s">
        <v>35</v>
      </c>
      <c r="D583" s="59" t="s">
        <v>20</v>
      </c>
      <c r="E583" s="14" t="str">
        <f t="shared" ref="E583:E608" si="49">IF(B542="","",LEFT(N583,3))</f>
        <v>V9A</v>
      </c>
      <c r="F583" s="111" t="s">
        <v>637</v>
      </c>
      <c r="G583" s="3" t="s">
        <v>26</v>
      </c>
      <c r="H583" s="111">
        <v>1.1000000000000001</v>
      </c>
      <c r="I583" s="22" t="s">
        <v>268</v>
      </c>
      <c r="J583" s="21" t="s">
        <v>1552</v>
      </c>
      <c r="K583" s="21"/>
      <c r="L583" s="125" t="s">
        <v>1329</v>
      </c>
      <c r="M583" s="150"/>
      <c r="N583" s="23" t="s">
        <v>1553</v>
      </c>
      <c r="O583" s="23" t="s">
        <v>30</v>
      </c>
      <c r="P583" s="23" t="s">
        <v>38</v>
      </c>
      <c r="Q583" s="88">
        <v>5</v>
      </c>
      <c r="R583" s="66">
        <v>45537</v>
      </c>
      <c r="S583" s="54">
        <v>45540</v>
      </c>
      <c r="T583" s="45" t="s">
        <v>19</v>
      </c>
      <c r="U583" s="100">
        <v>0</v>
      </c>
      <c r="V583" s="108">
        <v>5</v>
      </c>
      <c r="W583" s="22" t="s">
        <v>40</v>
      </c>
      <c r="X583" s="22" t="str">
        <f t="shared" si="48"/>
        <v>0FBWCC1.1</v>
      </c>
      <c r="Y583" s="22" t="s">
        <v>32</v>
      </c>
      <c r="Z583" s="78"/>
    </row>
    <row r="584" spans="1:28" s="70" customFormat="1" ht="24.95" customHeight="1">
      <c r="A584" s="80"/>
      <c r="B584" s="147">
        <v>45536</v>
      </c>
      <c r="C584" s="146" t="s">
        <v>35</v>
      </c>
      <c r="D584" s="59" t="s">
        <v>20</v>
      </c>
      <c r="E584" s="14" t="str">
        <f t="shared" si="49"/>
        <v>V4B</v>
      </c>
      <c r="F584" s="111" t="s">
        <v>200</v>
      </c>
      <c r="G584" s="15" t="s">
        <v>27</v>
      </c>
      <c r="H584" s="111">
        <v>0.44</v>
      </c>
      <c r="I584" s="22" t="s">
        <v>31</v>
      </c>
      <c r="J584" s="55" t="s">
        <v>1554</v>
      </c>
      <c r="K584" s="21" t="s">
        <v>1555</v>
      </c>
      <c r="L584" s="125" t="s">
        <v>788</v>
      </c>
      <c r="M584" s="150"/>
      <c r="N584" s="23" t="s">
        <v>1556</v>
      </c>
      <c r="O584" s="23" t="s">
        <v>30</v>
      </c>
      <c r="P584" s="23" t="s">
        <v>54</v>
      </c>
      <c r="Q584" s="88">
        <v>10</v>
      </c>
      <c r="R584" s="66">
        <v>45538</v>
      </c>
      <c r="S584" s="54">
        <v>45541</v>
      </c>
      <c r="T584" s="45" t="s">
        <v>19</v>
      </c>
      <c r="U584" s="100">
        <v>10</v>
      </c>
      <c r="V584" s="108">
        <v>0</v>
      </c>
      <c r="W584" s="22" t="s">
        <v>40</v>
      </c>
      <c r="X584" s="22" t="str">
        <f t="shared" si="48"/>
        <v>D2IDW-4-B-20.44</v>
      </c>
      <c r="Y584" s="22" t="s">
        <v>32</v>
      </c>
      <c r="Z584" s="78"/>
    </row>
    <row r="585" spans="1:28" s="70" customFormat="1" ht="24.95" customHeight="1">
      <c r="A585" s="80"/>
      <c r="B585" s="147">
        <v>45536</v>
      </c>
      <c r="C585" s="146" t="s">
        <v>35</v>
      </c>
      <c r="D585" s="59" t="s">
        <v>20</v>
      </c>
      <c r="E585" s="14" t="str">
        <f t="shared" si="49"/>
        <v>V9A</v>
      </c>
      <c r="F585" s="111" t="s">
        <v>637</v>
      </c>
      <c r="G585" s="15" t="s">
        <v>27</v>
      </c>
      <c r="H585" s="111">
        <v>1.1000000000000001</v>
      </c>
      <c r="I585" s="22" t="s">
        <v>268</v>
      </c>
      <c r="J585" s="55" t="s">
        <v>1557</v>
      </c>
      <c r="K585" s="55" t="s">
        <v>1557</v>
      </c>
      <c r="L585" s="125" t="s">
        <v>788</v>
      </c>
      <c r="M585" s="150"/>
      <c r="N585" s="23" t="s">
        <v>1553</v>
      </c>
      <c r="O585" s="23" t="s">
        <v>30</v>
      </c>
      <c r="P585" s="23" t="s">
        <v>38</v>
      </c>
      <c r="Q585" s="88">
        <v>5</v>
      </c>
      <c r="R585" s="66">
        <v>45537</v>
      </c>
      <c r="S585" s="54">
        <v>45540</v>
      </c>
      <c r="T585" s="45" t="s">
        <v>19</v>
      </c>
      <c r="U585" s="100">
        <v>0</v>
      </c>
      <c r="V585" s="108">
        <v>5</v>
      </c>
      <c r="W585" s="22" t="s">
        <v>40</v>
      </c>
      <c r="X585" s="22" t="str">
        <f t="shared" si="48"/>
        <v>0FBWCC1.1</v>
      </c>
      <c r="Y585" s="22" t="s">
        <v>182</v>
      </c>
      <c r="Z585" s="78"/>
    </row>
    <row r="586" spans="1:28" s="70" customFormat="1" ht="24.95" customHeight="1">
      <c r="A586" s="80"/>
      <c r="B586" s="147">
        <v>45536</v>
      </c>
      <c r="C586" s="146" t="s">
        <v>35</v>
      </c>
      <c r="D586" s="59" t="s">
        <v>20</v>
      </c>
      <c r="E586" s="14" t="str">
        <f t="shared" si="49"/>
        <v>11B</v>
      </c>
      <c r="F586" s="111" t="s">
        <v>24</v>
      </c>
      <c r="G586" s="15" t="s">
        <v>27</v>
      </c>
      <c r="H586" s="111">
        <v>0.8</v>
      </c>
      <c r="I586" s="22" t="s">
        <v>1397</v>
      </c>
      <c r="J586" s="21" t="s">
        <v>562</v>
      </c>
      <c r="K586" s="21" t="s">
        <v>1558</v>
      </c>
      <c r="L586" s="125" t="s">
        <v>60</v>
      </c>
      <c r="M586" s="150"/>
      <c r="N586" s="23" t="s">
        <v>1559</v>
      </c>
      <c r="O586" s="23" t="s">
        <v>1005</v>
      </c>
      <c r="P586" s="23" t="s">
        <v>1560</v>
      </c>
      <c r="Q586" s="88">
        <v>3</v>
      </c>
      <c r="R586" s="66">
        <v>45538</v>
      </c>
      <c r="S586" s="54">
        <v>45539</v>
      </c>
      <c r="T586" s="45" t="s">
        <v>19</v>
      </c>
      <c r="U586" s="100">
        <v>3</v>
      </c>
      <c r="V586" s="108">
        <v>0</v>
      </c>
      <c r="W586" s="22" t="s">
        <v>40</v>
      </c>
      <c r="X586" s="22" t="str">
        <f t="shared" si="48"/>
        <v>2PEW0.8</v>
      </c>
      <c r="Y586" s="22" t="s">
        <v>32</v>
      </c>
      <c r="Z586" s="78"/>
    </row>
    <row r="587" spans="1:28" s="70" customFormat="1" ht="24.95" customHeight="1">
      <c r="A587" s="80"/>
      <c r="B587" s="147">
        <v>45536</v>
      </c>
      <c r="C587" s="146" t="s">
        <v>35</v>
      </c>
      <c r="D587" s="59" t="s">
        <v>20</v>
      </c>
      <c r="E587" s="14" t="str">
        <f t="shared" si="49"/>
        <v>11A</v>
      </c>
      <c r="F587" s="111" t="s">
        <v>151</v>
      </c>
      <c r="G587" s="3" t="s">
        <v>26</v>
      </c>
      <c r="H587" s="111">
        <v>0.9</v>
      </c>
      <c r="I587" s="22" t="s">
        <v>31</v>
      </c>
      <c r="J587" s="21" t="s">
        <v>360</v>
      </c>
      <c r="K587" s="21"/>
      <c r="L587" s="125" t="s">
        <v>1561</v>
      </c>
      <c r="M587" s="150"/>
      <c r="N587" s="23" t="s">
        <v>1562</v>
      </c>
      <c r="O587" s="23" t="s">
        <v>195</v>
      </c>
      <c r="P587" s="23" t="s">
        <v>38</v>
      </c>
      <c r="Q587" s="88">
        <v>5</v>
      </c>
      <c r="R587" s="66">
        <v>45537</v>
      </c>
      <c r="S587" s="54">
        <v>45539</v>
      </c>
      <c r="T587" s="45" t="s">
        <v>19</v>
      </c>
      <c r="U587" s="100">
        <v>5</v>
      </c>
      <c r="V587" s="108">
        <v>0</v>
      </c>
      <c r="W587" s="22" t="s">
        <v>40</v>
      </c>
      <c r="X587" s="22" t="str">
        <f t="shared" si="48"/>
        <v>D1PEW-B-2Y0.9</v>
      </c>
      <c r="Y587" s="22" t="s">
        <v>32</v>
      </c>
      <c r="Z587" s="78"/>
    </row>
    <row r="588" spans="1:28" s="70" customFormat="1" ht="24.95" customHeight="1">
      <c r="A588" s="80"/>
      <c r="B588" s="147">
        <v>45536</v>
      </c>
      <c r="C588" s="146" t="s">
        <v>35</v>
      </c>
      <c r="D588" s="59" t="s">
        <v>20</v>
      </c>
      <c r="E588" s="14" t="str">
        <f t="shared" si="49"/>
        <v>V9A</v>
      </c>
      <c r="F588" s="111" t="s">
        <v>637</v>
      </c>
      <c r="G588" s="15" t="s">
        <v>27</v>
      </c>
      <c r="H588" s="111">
        <v>1.1000000000000001</v>
      </c>
      <c r="I588" s="22" t="s">
        <v>268</v>
      </c>
      <c r="J588" s="21" t="s">
        <v>1563</v>
      </c>
      <c r="K588" s="21" t="s">
        <v>1563</v>
      </c>
      <c r="L588" s="125" t="s">
        <v>788</v>
      </c>
      <c r="M588" s="150"/>
      <c r="N588" s="23" t="s">
        <v>1564</v>
      </c>
      <c r="O588" s="23" t="s">
        <v>30</v>
      </c>
      <c r="P588" s="23" t="s">
        <v>38</v>
      </c>
      <c r="Q588" s="88">
        <v>5</v>
      </c>
      <c r="R588" s="66">
        <v>45539</v>
      </c>
      <c r="S588" s="54">
        <v>45546</v>
      </c>
      <c r="T588" s="45" t="s">
        <v>19</v>
      </c>
      <c r="U588" s="100">
        <v>1</v>
      </c>
      <c r="V588" s="108">
        <v>4</v>
      </c>
      <c r="W588" s="22" t="s">
        <v>40</v>
      </c>
      <c r="X588" s="22" t="str">
        <f t="shared" si="48"/>
        <v>0FBWCC1.1</v>
      </c>
      <c r="Y588" s="22" t="s">
        <v>32</v>
      </c>
      <c r="Z588" s="161" t="s">
        <v>1565</v>
      </c>
      <c r="AA588" s="162"/>
      <c r="AB588" s="162"/>
    </row>
    <row r="589" spans="1:28" s="70" customFormat="1" ht="24.95" customHeight="1">
      <c r="A589" s="80"/>
      <c r="B589" s="147">
        <v>45536</v>
      </c>
      <c r="C589" s="146" t="s">
        <v>35</v>
      </c>
      <c r="D589" s="59" t="s">
        <v>20</v>
      </c>
      <c r="E589" s="14" t="str">
        <f t="shared" si="49"/>
        <v>12A</v>
      </c>
      <c r="F589" s="111" t="s">
        <v>165</v>
      </c>
      <c r="G589" s="15" t="s">
        <v>27</v>
      </c>
      <c r="H589" s="111">
        <v>1.81</v>
      </c>
      <c r="I589" s="22" t="s">
        <v>329</v>
      </c>
      <c r="J589" s="21" t="s">
        <v>1566</v>
      </c>
      <c r="K589" s="55" t="s">
        <v>1567</v>
      </c>
      <c r="L589" s="125" t="s">
        <v>788</v>
      </c>
      <c r="M589" s="150"/>
      <c r="N589" s="23" t="s">
        <v>1568</v>
      </c>
      <c r="O589" s="23" t="s">
        <v>29</v>
      </c>
      <c r="P589" s="23" t="s">
        <v>38</v>
      </c>
      <c r="Q589" s="88">
        <v>5</v>
      </c>
      <c r="R589" s="66">
        <v>45542</v>
      </c>
      <c r="S589" s="54">
        <v>45546</v>
      </c>
      <c r="T589" s="45" t="s">
        <v>19</v>
      </c>
      <c r="U589" s="100">
        <v>5</v>
      </c>
      <c r="V589" s="108">
        <v>0</v>
      </c>
      <c r="W589" s="22" t="s">
        <v>40</v>
      </c>
      <c r="X589" s="22" t="str">
        <f t="shared" si="48"/>
        <v>2EIWAD-O1.81</v>
      </c>
      <c r="Y589" s="22" t="s">
        <v>32</v>
      </c>
      <c r="Z589" s="78"/>
    </row>
    <row r="590" spans="1:28" s="70" customFormat="1" ht="24.95" customHeight="1">
      <c r="A590" s="80"/>
      <c r="B590" s="147">
        <v>45536</v>
      </c>
      <c r="C590" s="146" t="s">
        <v>35</v>
      </c>
      <c r="D590" s="59" t="s">
        <v>20</v>
      </c>
      <c r="E590" s="14" t="str">
        <f t="shared" si="49"/>
        <v>12A</v>
      </c>
      <c r="F590" s="111" t="s">
        <v>165</v>
      </c>
      <c r="G590" s="15" t="s">
        <v>27</v>
      </c>
      <c r="H590" s="111">
        <v>1.81</v>
      </c>
      <c r="I590" s="22" t="s">
        <v>329</v>
      </c>
      <c r="J590" s="21" t="s">
        <v>1569</v>
      </c>
      <c r="K590" s="55" t="s">
        <v>1571</v>
      </c>
      <c r="L590" s="125" t="s">
        <v>1570</v>
      </c>
      <c r="M590" s="150"/>
      <c r="N590" s="23" t="s">
        <v>1572</v>
      </c>
      <c r="O590" s="23" t="s">
        <v>30</v>
      </c>
      <c r="P590" s="23" t="s">
        <v>38</v>
      </c>
      <c r="Q590" s="88">
        <v>5</v>
      </c>
      <c r="R590" s="66">
        <v>45541</v>
      </c>
      <c r="S590" s="54">
        <v>45546</v>
      </c>
      <c r="T590" s="45" t="s">
        <v>19</v>
      </c>
      <c r="U590" s="100">
        <v>5</v>
      </c>
      <c r="V590" s="108">
        <v>0</v>
      </c>
      <c r="W590" s="22" t="s">
        <v>40</v>
      </c>
      <c r="X590" s="22" t="str">
        <f t="shared" si="48"/>
        <v>2EIWAD-O1.81</v>
      </c>
      <c r="Y590" s="22" t="s">
        <v>32</v>
      </c>
      <c r="Z590" s="78"/>
    </row>
    <row r="591" spans="1:28" s="70" customFormat="1" ht="24.95" customHeight="1">
      <c r="A591" s="80"/>
      <c r="B591" s="147">
        <v>45536</v>
      </c>
      <c r="C591" s="146" t="s">
        <v>35</v>
      </c>
      <c r="D591" s="59" t="s">
        <v>20</v>
      </c>
      <c r="E591" s="14" t="str">
        <f t="shared" si="49"/>
        <v>V9A</v>
      </c>
      <c r="F591" s="111" t="s">
        <v>151</v>
      </c>
      <c r="G591" s="3" t="s">
        <v>26</v>
      </c>
      <c r="H591" s="111">
        <v>0.9</v>
      </c>
      <c r="I591" s="22" t="s">
        <v>31</v>
      </c>
      <c r="J591" s="21" t="s">
        <v>58</v>
      </c>
      <c r="K591" s="55"/>
      <c r="L591" s="125"/>
      <c r="M591" s="150"/>
      <c r="N591" s="23" t="s">
        <v>1588</v>
      </c>
      <c r="O591" s="23" t="s">
        <v>486</v>
      </c>
      <c r="P591" s="23" t="s">
        <v>367</v>
      </c>
      <c r="Q591" s="88">
        <v>18</v>
      </c>
      <c r="R591" s="66">
        <v>45552</v>
      </c>
      <c r="S591" s="54">
        <v>45554</v>
      </c>
      <c r="T591" s="45" t="s">
        <v>19</v>
      </c>
      <c r="U591" s="100">
        <v>18</v>
      </c>
      <c r="V591" s="108">
        <v>0</v>
      </c>
      <c r="W591" s="22" t="s">
        <v>40</v>
      </c>
      <c r="X591" s="22" t="str">
        <f t="shared" si="48"/>
        <v>D1PEW-B-2Y0.9</v>
      </c>
      <c r="Y591" s="22" t="s">
        <v>32</v>
      </c>
      <c r="Z591" s="78"/>
    </row>
    <row r="592" spans="1:28" s="70" customFormat="1" ht="24.95" customHeight="1">
      <c r="A592" s="80"/>
      <c r="B592" s="147">
        <v>45536</v>
      </c>
      <c r="C592" s="146" t="s">
        <v>35</v>
      </c>
      <c r="D592" s="59" t="s">
        <v>20</v>
      </c>
      <c r="E592" s="14" t="str">
        <f t="shared" si="49"/>
        <v>V6A</v>
      </c>
      <c r="F592" s="111" t="s">
        <v>186</v>
      </c>
      <c r="G592" s="15" t="s">
        <v>27</v>
      </c>
      <c r="H592" s="111">
        <v>1.18</v>
      </c>
      <c r="I592" s="22" t="s">
        <v>187</v>
      </c>
      <c r="J592" s="21" t="s">
        <v>1589</v>
      </c>
      <c r="K592" s="55" t="s">
        <v>1590</v>
      </c>
      <c r="L592" s="125" t="s">
        <v>60</v>
      </c>
      <c r="M592" s="150"/>
      <c r="N592" s="23" t="s">
        <v>1591</v>
      </c>
      <c r="O592" s="23" t="s">
        <v>39</v>
      </c>
      <c r="P592" s="23" t="s">
        <v>38</v>
      </c>
      <c r="Q592" s="88">
        <v>5</v>
      </c>
      <c r="R592" s="66">
        <v>45550</v>
      </c>
      <c r="S592" s="54">
        <v>45554</v>
      </c>
      <c r="T592" s="45" t="s">
        <v>19</v>
      </c>
      <c r="U592" s="100">
        <v>5</v>
      </c>
      <c r="V592" s="108">
        <v>0</v>
      </c>
      <c r="W592" s="22" t="s">
        <v>40</v>
      </c>
      <c r="X592" s="22" t="str">
        <f t="shared" si="48"/>
        <v>1HGZ-MA1.18</v>
      </c>
      <c r="Y592" s="22" t="s">
        <v>32</v>
      </c>
      <c r="Z592" s="78"/>
    </row>
    <row r="593" spans="1:26" s="70" customFormat="1" ht="24.95" customHeight="1">
      <c r="A593" s="80"/>
      <c r="B593" s="147">
        <v>45536</v>
      </c>
      <c r="C593" s="146" t="s">
        <v>35</v>
      </c>
      <c r="D593" s="59" t="s">
        <v>20</v>
      </c>
      <c r="E593" s="14" t="str">
        <f t="shared" si="49"/>
        <v>V6B</v>
      </c>
      <c r="F593" s="111" t="s">
        <v>165</v>
      </c>
      <c r="G593" s="15" t="s">
        <v>27</v>
      </c>
      <c r="H593" s="111">
        <v>1.65</v>
      </c>
      <c r="I593" s="22" t="s">
        <v>321</v>
      </c>
      <c r="J593" s="21" t="s">
        <v>1592</v>
      </c>
      <c r="K593" s="21" t="s">
        <v>1592</v>
      </c>
      <c r="L593" s="125" t="s">
        <v>60</v>
      </c>
      <c r="M593" s="150"/>
      <c r="N593" s="23" t="s">
        <v>1593</v>
      </c>
      <c r="O593" s="23" t="s">
        <v>30</v>
      </c>
      <c r="P593" s="23" t="s">
        <v>662</v>
      </c>
      <c r="Q593" s="88">
        <v>15</v>
      </c>
      <c r="R593" s="66">
        <v>45552</v>
      </c>
      <c r="S593" s="54">
        <v>45554</v>
      </c>
      <c r="T593" s="45" t="s">
        <v>19</v>
      </c>
      <c r="U593" s="100">
        <v>15</v>
      </c>
      <c r="V593" s="108">
        <v>0</v>
      </c>
      <c r="W593" s="22" t="s">
        <v>40</v>
      </c>
      <c r="X593" s="22" t="str">
        <f t="shared" si="48"/>
        <v>2EIWAD-O1.65</v>
      </c>
      <c r="Y593" s="22" t="s">
        <v>32</v>
      </c>
      <c r="Z593" s="78"/>
    </row>
    <row r="594" spans="1:26" s="70" customFormat="1" ht="24.95" customHeight="1">
      <c r="A594" s="80"/>
      <c r="B594" s="147">
        <v>45536</v>
      </c>
      <c r="C594" s="146" t="s">
        <v>35</v>
      </c>
      <c r="D594" s="59" t="s">
        <v>20</v>
      </c>
      <c r="E594" s="14" t="str">
        <f t="shared" si="49"/>
        <v>V6A</v>
      </c>
      <c r="F594" s="111" t="s">
        <v>186</v>
      </c>
      <c r="G594" s="15" t="s">
        <v>27</v>
      </c>
      <c r="H594" s="111">
        <v>1.18</v>
      </c>
      <c r="I594" s="22" t="s">
        <v>187</v>
      </c>
      <c r="J594" s="21" t="s">
        <v>896</v>
      </c>
      <c r="K594" s="21" t="s">
        <v>896</v>
      </c>
      <c r="L594" s="125" t="s">
        <v>60</v>
      </c>
      <c r="M594" s="150"/>
      <c r="N594" s="23" t="s">
        <v>1594</v>
      </c>
      <c r="O594" s="23" t="s">
        <v>1067</v>
      </c>
      <c r="P594" s="23" t="s">
        <v>38</v>
      </c>
      <c r="Q594" s="88">
        <v>10</v>
      </c>
      <c r="R594" s="66">
        <v>45553</v>
      </c>
      <c r="S594" s="54">
        <v>45554</v>
      </c>
      <c r="T594" s="45" t="s">
        <v>19</v>
      </c>
      <c r="U594" s="100">
        <v>10</v>
      </c>
      <c r="V594" s="108">
        <v>0</v>
      </c>
      <c r="W594" s="22" t="s">
        <v>40</v>
      </c>
      <c r="X594" s="22" t="str">
        <f t="shared" si="48"/>
        <v>1HGZ-MA1.18</v>
      </c>
      <c r="Y594" s="22" t="s">
        <v>32</v>
      </c>
      <c r="Z594" s="78"/>
    </row>
    <row r="595" spans="1:26" s="70" customFormat="1" ht="24.95" customHeight="1">
      <c r="A595" s="80"/>
      <c r="B595" s="147">
        <v>45536</v>
      </c>
      <c r="C595" s="146" t="s">
        <v>35</v>
      </c>
      <c r="D595" s="59" t="s">
        <v>20</v>
      </c>
      <c r="E595" s="14" t="str">
        <f t="shared" si="49"/>
        <v>V9B</v>
      </c>
      <c r="F595" s="111" t="s">
        <v>23</v>
      </c>
      <c r="G595" s="3" t="s">
        <v>26</v>
      </c>
      <c r="H595" s="111">
        <v>1.2</v>
      </c>
      <c r="I595" s="22" t="s">
        <v>25</v>
      </c>
      <c r="J595" s="21" t="s">
        <v>317</v>
      </c>
      <c r="K595" s="21"/>
      <c r="L595" s="125" t="s">
        <v>1595</v>
      </c>
      <c r="M595" s="150"/>
      <c r="N595" s="23" t="s">
        <v>1596</v>
      </c>
      <c r="O595" s="23" t="s">
        <v>29</v>
      </c>
      <c r="P595" s="23" t="s">
        <v>1597</v>
      </c>
      <c r="Q595" s="88">
        <v>1</v>
      </c>
      <c r="R595" s="66">
        <v>45546</v>
      </c>
      <c r="S595" s="54">
        <v>45554</v>
      </c>
      <c r="T595" s="45" t="s">
        <v>19</v>
      </c>
      <c r="U595" s="100">
        <v>1</v>
      </c>
      <c r="V595" s="108">
        <v>0</v>
      </c>
      <c r="W595" s="22" t="s">
        <v>40</v>
      </c>
      <c r="X595" s="22" t="str">
        <f t="shared" si="48"/>
        <v>0FBWSHC1.2</v>
      </c>
      <c r="Y595" s="22" t="s">
        <v>32</v>
      </c>
      <c r="Z595" s="78"/>
    </row>
    <row r="596" spans="1:26" s="70" customFormat="1" ht="24.95" customHeight="1">
      <c r="A596" s="80"/>
      <c r="B596" s="147">
        <v>45536</v>
      </c>
      <c r="C596" s="146" t="s">
        <v>35</v>
      </c>
      <c r="D596" s="59" t="s">
        <v>20</v>
      </c>
      <c r="E596" s="14" t="str">
        <f t="shared" si="49"/>
        <v>V6B</v>
      </c>
      <c r="F596" s="111" t="s">
        <v>165</v>
      </c>
      <c r="G596" s="15" t="s">
        <v>27</v>
      </c>
      <c r="H596" s="111">
        <v>1.65</v>
      </c>
      <c r="I596" s="22" t="s">
        <v>321</v>
      </c>
      <c r="J596" s="21" t="s">
        <v>1598</v>
      </c>
      <c r="K596" s="21" t="s">
        <v>1598</v>
      </c>
      <c r="L596" s="125" t="s">
        <v>60</v>
      </c>
      <c r="M596" s="150"/>
      <c r="N596" s="23" t="s">
        <v>1599</v>
      </c>
      <c r="O596" s="23" t="s">
        <v>30</v>
      </c>
      <c r="P596" s="23" t="s">
        <v>273</v>
      </c>
      <c r="Q596" s="88">
        <v>1</v>
      </c>
      <c r="R596" s="66">
        <v>45549</v>
      </c>
      <c r="S596" s="54">
        <v>45554</v>
      </c>
      <c r="T596" s="45" t="s">
        <v>19</v>
      </c>
      <c r="U596" s="100">
        <v>1</v>
      </c>
      <c r="V596" s="108">
        <v>0</v>
      </c>
      <c r="W596" s="22" t="s">
        <v>40</v>
      </c>
      <c r="X596" s="22" t="str">
        <f t="shared" si="48"/>
        <v>2EIWAD-O1.65</v>
      </c>
      <c r="Y596" s="22" t="s">
        <v>32</v>
      </c>
      <c r="Z596" s="78"/>
    </row>
    <row r="597" spans="1:26" s="70" customFormat="1" ht="24.95" customHeight="1">
      <c r="A597" s="80"/>
      <c r="B597" s="147">
        <v>45536</v>
      </c>
      <c r="C597" s="146" t="s">
        <v>35</v>
      </c>
      <c r="D597" s="59" t="s">
        <v>20</v>
      </c>
      <c r="E597" s="14" t="str">
        <f t="shared" si="49"/>
        <v>V6B</v>
      </c>
      <c r="F597" s="111" t="s">
        <v>165</v>
      </c>
      <c r="G597" s="15" t="s">
        <v>27</v>
      </c>
      <c r="H597" s="111">
        <v>1.65</v>
      </c>
      <c r="I597" s="22" t="s">
        <v>321</v>
      </c>
      <c r="J597" s="21" t="s">
        <v>1600</v>
      </c>
      <c r="K597" s="21" t="s">
        <v>1600</v>
      </c>
      <c r="L597" s="125" t="s">
        <v>60</v>
      </c>
      <c r="M597" s="150"/>
      <c r="N597" s="23" t="s">
        <v>1601</v>
      </c>
      <c r="O597" s="23" t="s">
        <v>30</v>
      </c>
      <c r="P597" s="23" t="s">
        <v>273</v>
      </c>
      <c r="Q597" s="88">
        <v>1</v>
      </c>
      <c r="R597" s="66">
        <v>45552</v>
      </c>
      <c r="S597" s="54">
        <v>45554</v>
      </c>
      <c r="T597" s="45" t="s">
        <v>19</v>
      </c>
      <c r="U597" s="100">
        <v>0</v>
      </c>
      <c r="V597" s="108">
        <v>1</v>
      </c>
      <c r="W597" s="22" t="s">
        <v>40</v>
      </c>
      <c r="X597" s="22" t="str">
        <f t="shared" si="48"/>
        <v>2EIWAD-O1.65</v>
      </c>
      <c r="Y597" s="22" t="s">
        <v>182</v>
      </c>
      <c r="Z597" s="78"/>
    </row>
    <row r="598" spans="1:26" s="70" customFormat="1" ht="24.95" customHeight="1">
      <c r="A598" s="80"/>
      <c r="B598" s="147">
        <v>45536</v>
      </c>
      <c r="C598" s="146" t="s">
        <v>35</v>
      </c>
      <c r="D598" s="59" t="s">
        <v>20</v>
      </c>
      <c r="E598" s="14" t="str">
        <f t="shared" si="49"/>
        <v>11B</v>
      </c>
      <c r="F598" s="111" t="s">
        <v>24</v>
      </c>
      <c r="G598" s="15" t="s">
        <v>27</v>
      </c>
      <c r="H598" s="111">
        <v>0.85</v>
      </c>
      <c r="I598" s="22" t="s">
        <v>1397</v>
      </c>
      <c r="J598" s="21" t="s">
        <v>47</v>
      </c>
      <c r="K598" s="21" t="s">
        <v>47</v>
      </c>
      <c r="L598" s="125" t="s">
        <v>60</v>
      </c>
      <c r="M598" s="150"/>
      <c r="N598" s="23" t="s">
        <v>1607</v>
      </c>
      <c r="O598" s="23" t="s">
        <v>39</v>
      </c>
      <c r="P598" s="23" t="s">
        <v>328</v>
      </c>
      <c r="Q598" s="133">
        <v>1</v>
      </c>
      <c r="R598" s="66">
        <v>45545</v>
      </c>
      <c r="S598" s="54">
        <v>45552</v>
      </c>
      <c r="T598" s="45" t="s">
        <v>19</v>
      </c>
      <c r="U598" s="100">
        <v>1</v>
      </c>
      <c r="V598" s="108">
        <v>0</v>
      </c>
      <c r="W598" s="22" t="s">
        <v>40</v>
      </c>
      <c r="X598" s="22" t="str">
        <f t="shared" si="48"/>
        <v>2PEW0.85</v>
      </c>
      <c r="Y598" s="22" t="s">
        <v>32</v>
      </c>
      <c r="Z598" s="78"/>
    </row>
    <row r="599" spans="1:26" s="70" customFormat="1" ht="24.95" customHeight="1">
      <c r="A599" s="80"/>
      <c r="B599" s="147">
        <v>45536</v>
      </c>
      <c r="C599" s="146" t="s">
        <v>35</v>
      </c>
      <c r="D599" s="59" t="s">
        <v>20</v>
      </c>
      <c r="E599" s="14" t="str">
        <f t="shared" si="49"/>
        <v>11B</v>
      </c>
      <c r="F599" s="111" t="s">
        <v>24</v>
      </c>
      <c r="G599" s="15" t="s">
        <v>27</v>
      </c>
      <c r="H599" s="111">
        <v>0.8</v>
      </c>
      <c r="I599" s="22" t="s">
        <v>1397</v>
      </c>
      <c r="J599" s="21" t="s">
        <v>47</v>
      </c>
      <c r="K599" s="21" t="s">
        <v>47</v>
      </c>
      <c r="L599" s="125" t="s">
        <v>60</v>
      </c>
      <c r="M599" s="150"/>
      <c r="N599" s="23" t="s">
        <v>1608</v>
      </c>
      <c r="O599" s="23" t="s">
        <v>30</v>
      </c>
      <c r="P599" s="23" t="s">
        <v>328</v>
      </c>
      <c r="Q599" s="88">
        <v>1</v>
      </c>
      <c r="R599" s="66">
        <v>45541</v>
      </c>
      <c r="S599" s="54">
        <v>45552</v>
      </c>
      <c r="T599" s="45" t="s">
        <v>19</v>
      </c>
      <c r="U599" s="100">
        <v>1</v>
      </c>
      <c r="V599" s="108">
        <v>0</v>
      </c>
      <c r="W599" s="22" t="s">
        <v>40</v>
      </c>
      <c r="X599" s="22" t="str">
        <f t="shared" si="48"/>
        <v>2PEW0.8</v>
      </c>
      <c r="Y599" s="22" t="s">
        <v>32</v>
      </c>
      <c r="Z599" s="78"/>
    </row>
    <row r="600" spans="1:26" s="70" customFormat="1" ht="24.95" customHeight="1">
      <c r="A600" s="80"/>
      <c r="B600" s="147">
        <v>45536</v>
      </c>
      <c r="C600" s="146" t="s">
        <v>35</v>
      </c>
      <c r="D600" s="59" t="s">
        <v>20</v>
      </c>
      <c r="E600" s="14" t="str">
        <f t="shared" si="49"/>
        <v>V8A</v>
      </c>
      <c r="F600" s="111" t="s">
        <v>529</v>
      </c>
      <c r="G600" s="3" t="s">
        <v>26</v>
      </c>
      <c r="H600" s="111">
        <v>1.7</v>
      </c>
      <c r="I600" s="22" t="s">
        <v>530</v>
      </c>
      <c r="J600" s="21" t="s">
        <v>44</v>
      </c>
      <c r="K600" s="21"/>
      <c r="L600" s="125" t="s">
        <v>46</v>
      </c>
      <c r="M600" s="150"/>
      <c r="N600" s="23" t="s">
        <v>1609</v>
      </c>
      <c r="O600" s="23" t="s">
        <v>176</v>
      </c>
      <c r="P600" s="23" t="s">
        <v>328</v>
      </c>
      <c r="Q600" s="88">
        <v>2</v>
      </c>
      <c r="R600" s="66">
        <v>45545</v>
      </c>
      <c r="S600" s="54">
        <v>45553</v>
      </c>
      <c r="T600" s="45" t="s">
        <v>19</v>
      </c>
      <c r="U600" s="100">
        <v>2</v>
      </c>
      <c r="V600" s="108">
        <v>0</v>
      </c>
      <c r="W600" s="22" t="s">
        <v>40</v>
      </c>
      <c r="X600" s="22" t="str">
        <f t="shared" si="48"/>
        <v>1PEW1.7</v>
      </c>
      <c r="Y600" s="22" t="s">
        <v>32</v>
      </c>
      <c r="Z600" s="78"/>
    </row>
    <row r="601" spans="1:26" s="70" customFormat="1" ht="24.95" customHeight="1">
      <c r="A601" s="80"/>
      <c r="B601" s="147">
        <v>45536</v>
      </c>
      <c r="C601" s="146" t="s">
        <v>35</v>
      </c>
      <c r="D601" s="59" t="s">
        <v>20</v>
      </c>
      <c r="E601" s="14" t="str">
        <f t="shared" si="49"/>
        <v>12A</v>
      </c>
      <c r="F601" s="111" t="s">
        <v>165</v>
      </c>
      <c r="G601" s="3" t="s">
        <v>26</v>
      </c>
      <c r="H601" s="111">
        <v>1.81</v>
      </c>
      <c r="I601" s="22" t="s">
        <v>329</v>
      </c>
      <c r="J601" s="21" t="s">
        <v>1202</v>
      </c>
      <c r="K601" s="21"/>
      <c r="L601" s="125" t="s">
        <v>809</v>
      </c>
      <c r="M601" s="150"/>
      <c r="N601" s="23" t="s">
        <v>1610</v>
      </c>
      <c r="O601" s="23" t="s">
        <v>30</v>
      </c>
      <c r="P601" s="23" t="s">
        <v>1210</v>
      </c>
      <c r="Q601" s="88">
        <v>4</v>
      </c>
      <c r="R601" s="66">
        <v>45548</v>
      </c>
      <c r="S601" s="54">
        <v>45559</v>
      </c>
      <c r="T601" s="45" t="s">
        <v>19</v>
      </c>
      <c r="U601" s="100">
        <v>4</v>
      </c>
      <c r="V601" s="108">
        <v>0</v>
      </c>
      <c r="W601" s="22" t="s">
        <v>40</v>
      </c>
      <c r="X601" s="22" t="str">
        <f t="shared" si="48"/>
        <v>2EIWAD-O1.81</v>
      </c>
      <c r="Y601" s="22" t="s">
        <v>32</v>
      </c>
      <c r="Z601" s="78"/>
    </row>
    <row r="602" spans="1:26" s="70" customFormat="1" ht="24.95" customHeight="1">
      <c r="A602" s="80"/>
      <c r="B602" s="147">
        <v>45536</v>
      </c>
      <c r="C602" s="146" t="s">
        <v>35</v>
      </c>
      <c r="D602" s="59" t="s">
        <v>20</v>
      </c>
      <c r="E602" s="14" t="str">
        <f t="shared" si="49"/>
        <v>12B</v>
      </c>
      <c r="F602" s="111" t="s">
        <v>719</v>
      </c>
      <c r="G602" s="15" t="s">
        <v>27</v>
      </c>
      <c r="H602" s="111">
        <v>1.1499999999999999</v>
      </c>
      <c r="I602" s="22" t="s">
        <v>252</v>
      </c>
      <c r="J602" s="21" t="s">
        <v>1611</v>
      </c>
      <c r="K602" s="21" t="s">
        <v>1611</v>
      </c>
      <c r="L602" s="125"/>
      <c r="M602" s="150"/>
      <c r="N602" s="23" t="s">
        <v>1612</v>
      </c>
      <c r="O602" s="23" t="s">
        <v>30</v>
      </c>
      <c r="P602" s="23" t="s">
        <v>812</v>
      </c>
      <c r="Q602" s="88">
        <v>1</v>
      </c>
      <c r="R602" s="66">
        <v>45545</v>
      </c>
      <c r="S602" s="54">
        <v>45559</v>
      </c>
      <c r="T602" s="45" t="s">
        <v>19</v>
      </c>
      <c r="U602" s="100">
        <v>1</v>
      </c>
      <c r="V602" s="108">
        <v>0</v>
      </c>
      <c r="W602" s="22" t="s">
        <v>40</v>
      </c>
      <c r="X602" s="22" t="str">
        <f t="shared" si="48"/>
        <v>D1-IDW-41.15</v>
      </c>
      <c r="Y602" s="22" t="s">
        <v>32</v>
      </c>
      <c r="Z602" s="78"/>
    </row>
    <row r="603" spans="1:26" s="70" customFormat="1" ht="24.95" customHeight="1">
      <c r="A603" s="80"/>
      <c r="B603" s="147">
        <v>45536</v>
      </c>
      <c r="C603" s="146" t="s">
        <v>35</v>
      </c>
      <c r="D603" s="59" t="s">
        <v>20</v>
      </c>
      <c r="E603" s="14" t="str">
        <f t="shared" si="49"/>
        <v>V4A</v>
      </c>
      <c r="F603" s="111" t="s">
        <v>177</v>
      </c>
      <c r="G603" s="15" t="s">
        <v>27</v>
      </c>
      <c r="H603" s="111">
        <v>0.5</v>
      </c>
      <c r="I603" s="22" t="s">
        <v>178</v>
      </c>
      <c r="J603" s="55" t="s">
        <v>1629</v>
      </c>
      <c r="K603" s="21" t="s">
        <v>1630</v>
      </c>
      <c r="L603" s="125" t="s">
        <v>1198</v>
      </c>
      <c r="M603" s="150"/>
      <c r="N603" s="23" t="s">
        <v>1631</v>
      </c>
      <c r="O603" s="23" t="s">
        <v>29</v>
      </c>
      <c r="P603" s="23" t="s">
        <v>54</v>
      </c>
      <c r="Q603" s="88">
        <v>10</v>
      </c>
      <c r="R603" s="66">
        <v>45557</v>
      </c>
      <c r="S603" s="54">
        <v>45560</v>
      </c>
      <c r="T603" s="45" t="s">
        <v>19</v>
      </c>
      <c r="U603" s="100">
        <v>10</v>
      </c>
      <c r="V603" s="108">
        <v>0</v>
      </c>
      <c r="W603" s="22" t="s">
        <v>40</v>
      </c>
      <c r="X603" s="22" t="str">
        <f t="shared" si="48"/>
        <v>D2DSW20.5</v>
      </c>
      <c r="Y603" s="22" t="s">
        <v>32</v>
      </c>
      <c r="Z603" s="78"/>
    </row>
    <row r="604" spans="1:26" s="70" customFormat="1" ht="24.95" customHeight="1">
      <c r="A604" s="80"/>
      <c r="B604" s="147">
        <v>45536</v>
      </c>
      <c r="C604" s="146" t="s">
        <v>35</v>
      </c>
      <c r="D604" s="59" t="s">
        <v>20</v>
      </c>
      <c r="E604" s="14" t="str">
        <f t="shared" si="49"/>
        <v>V8D</v>
      </c>
      <c r="F604" s="111" t="s">
        <v>24</v>
      </c>
      <c r="G604" s="15" t="s">
        <v>27</v>
      </c>
      <c r="H604" s="111">
        <v>0.8</v>
      </c>
      <c r="I604" s="22" t="s">
        <v>1397</v>
      </c>
      <c r="J604" s="21" t="s">
        <v>1633</v>
      </c>
      <c r="K604" s="21" t="s">
        <v>1632</v>
      </c>
      <c r="L604" s="125" t="s">
        <v>1198</v>
      </c>
      <c r="M604" s="150"/>
      <c r="N604" s="23" t="s">
        <v>1634</v>
      </c>
      <c r="O604" s="23" t="s">
        <v>30</v>
      </c>
      <c r="P604" s="23" t="s">
        <v>542</v>
      </c>
      <c r="Q604" s="88">
        <v>3</v>
      </c>
      <c r="R604" s="66">
        <v>45557</v>
      </c>
      <c r="S604" s="54">
        <v>45560</v>
      </c>
      <c r="T604" s="45" t="s">
        <v>19</v>
      </c>
      <c r="U604" s="100">
        <v>3</v>
      </c>
      <c r="V604" s="108">
        <v>0</v>
      </c>
      <c r="W604" s="22" t="s">
        <v>40</v>
      </c>
      <c r="X604" s="22" t="str">
        <f t="shared" si="48"/>
        <v>2PEW0.8</v>
      </c>
      <c r="Y604" s="22" t="s">
        <v>32</v>
      </c>
      <c r="Z604" s="78"/>
    </row>
    <row r="605" spans="1:26" s="70" customFormat="1" ht="24.95" customHeight="1">
      <c r="A605" s="80"/>
      <c r="B605" s="147">
        <v>45536</v>
      </c>
      <c r="C605" s="146" t="s">
        <v>35</v>
      </c>
      <c r="D605" s="59" t="s">
        <v>20</v>
      </c>
      <c r="E605" s="14" t="str">
        <f t="shared" si="49"/>
        <v>VOA</v>
      </c>
      <c r="F605" s="111" t="s">
        <v>259</v>
      </c>
      <c r="G605" s="15" t="s">
        <v>27</v>
      </c>
      <c r="H605" s="111">
        <v>0.5</v>
      </c>
      <c r="I605" s="22" t="s">
        <v>31</v>
      </c>
      <c r="J605" s="21" t="s">
        <v>1635</v>
      </c>
      <c r="K605" s="55" t="s">
        <v>1636</v>
      </c>
      <c r="L605" s="125" t="s">
        <v>1198</v>
      </c>
      <c r="M605" s="150"/>
      <c r="N605" s="23" t="s">
        <v>1637</v>
      </c>
      <c r="O605" s="23" t="s">
        <v>29</v>
      </c>
      <c r="P605" s="23" t="s">
        <v>38</v>
      </c>
      <c r="Q605" s="88">
        <v>5</v>
      </c>
      <c r="R605" s="66">
        <v>45557</v>
      </c>
      <c r="S605" s="54">
        <v>45560</v>
      </c>
      <c r="T605" s="45" t="s">
        <v>19</v>
      </c>
      <c r="U605" s="100">
        <v>5</v>
      </c>
      <c r="V605" s="108">
        <v>0</v>
      </c>
      <c r="W605" s="22" t="s">
        <v>40</v>
      </c>
      <c r="X605" s="22" t="str">
        <f t="shared" si="48"/>
        <v>D1-PEW-B-2T0.5</v>
      </c>
      <c r="Y605" s="22" t="s">
        <v>32</v>
      </c>
      <c r="Z605" s="78"/>
    </row>
    <row r="606" spans="1:26" s="70" customFormat="1" ht="24.95" customHeight="1">
      <c r="A606" s="80"/>
      <c r="B606" s="147">
        <v>45536</v>
      </c>
      <c r="C606" s="146" t="s">
        <v>35</v>
      </c>
      <c r="D606" s="59" t="s">
        <v>20</v>
      </c>
      <c r="E606" s="14" t="str">
        <f t="shared" si="49"/>
        <v>V9A</v>
      </c>
      <c r="F606" s="111" t="s">
        <v>151</v>
      </c>
      <c r="G606" s="15" t="s">
        <v>27</v>
      </c>
      <c r="H606" s="111">
        <v>0.9</v>
      </c>
      <c r="I606" s="22" t="s">
        <v>31</v>
      </c>
      <c r="J606" s="21" t="s">
        <v>1633</v>
      </c>
      <c r="K606" s="21" t="s">
        <v>1632</v>
      </c>
      <c r="L606" s="125" t="s">
        <v>1198</v>
      </c>
      <c r="M606" s="150"/>
      <c r="N606" s="23" t="s">
        <v>1638</v>
      </c>
      <c r="O606" s="23" t="s">
        <v>29</v>
      </c>
      <c r="P606" s="23" t="s">
        <v>367</v>
      </c>
      <c r="Q606" s="88">
        <v>9</v>
      </c>
      <c r="R606" s="66">
        <v>45557</v>
      </c>
      <c r="S606" s="54">
        <v>45560</v>
      </c>
      <c r="T606" s="45" t="s">
        <v>19</v>
      </c>
      <c r="U606" s="100">
        <v>9</v>
      </c>
      <c r="V606" s="108">
        <v>0</v>
      </c>
      <c r="W606" s="22" t="s">
        <v>40</v>
      </c>
      <c r="X606" s="22" t="str">
        <f t="shared" si="48"/>
        <v>D1PEW-B-2Y0.9</v>
      </c>
      <c r="Y606" s="22" t="s">
        <v>32</v>
      </c>
      <c r="Z606" s="78"/>
    </row>
    <row r="607" spans="1:26" s="70" customFormat="1" ht="24.95" customHeight="1">
      <c r="A607" s="80"/>
      <c r="B607" s="147">
        <v>45536</v>
      </c>
      <c r="C607" s="146" t="s">
        <v>35</v>
      </c>
      <c r="D607" s="59" t="s">
        <v>20</v>
      </c>
      <c r="E607" s="14" t="str">
        <f t="shared" si="49"/>
        <v>V8C</v>
      </c>
      <c r="F607" s="111" t="s">
        <v>343</v>
      </c>
      <c r="G607" s="15" t="s">
        <v>27</v>
      </c>
      <c r="H607" s="111">
        <v>1.05</v>
      </c>
      <c r="I607" s="22" t="s">
        <v>25</v>
      </c>
      <c r="J607" s="21" t="s">
        <v>1633</v>
      </c>
      <c r="K607" s="21" t="s">
        <v>1632</v>
      </c>
      <c r="L607" s="125" t="s">
        <v>1198</v>
      </c>
      <c r="M607" s="150"/>
      <c r="N607" s="23" t="s">
        <v>1639</v>
      </c>
      <c r="O607" s="23" t="s">
        <v>30</v>
      </c>
      <c r="P607" s="23" t="s">
        <v>1640</v>
      </c>
      <c r="Q607" s="88">
        <v>2</v>
      </c>
      <c r="R607" s="66">
        <v>45557</v>
      </c>
      <c r="S607" s="54">
        <v>45560</v>
      </c>
      <c r="T607" s="45" t="s">
        <v>19</v>
      </c>
      <c r="U607" s="100">
        <v>2</v>
      </c>
      <c r="V607" s="108">
        <v>0</v>
      </c>
      <c r="W607" s="22" t="s">
        <v>40</v>
      </c>
      <c r="X607" s="22" t="str">
        <f t="shared" si="48"/>
        <v>1AIWP1.05</v>
      </c>
      <c r="Y607" s="22" t="s">
        <v>32</v>
      </c>
      <c r="Z607" s="78"/>
    </row>
    <row r="608" spans="1:26" s="70" customFormat="1" ht="24.95" customHeight="1">
      <c r="A608" s="80"/>
      <c r="B608" s="147">
        <v>45536</v>
      </c>
      <c r="C608" s="146" t="s">
        <v>35</v>
      </c>
      <c r="D608" s="59" t="s">
        <v>20</v>
      </c>
      <c r="E608" s="14" t="str">
        <f t="shared" si="49"/>
        <v>V4B</v>
      </c>
      <c r="F608" s="111" t="s">
        <v>200</v>
      </c>
      <c r="G608" s="15" t="s">
        <v>27</v>
      </c>
      <c r="H608" s="111">
        <v>0.63</v>
      </c>
      <c r="I608" s="22" t="s">
        <v>31</v>
      </c>
      <c r="J608" s="21" t="s">
        <v>1644</v>
      </c>
      <c r="K608" s="21" t="s">
        <v>1641</v>
      </c>
      <c r="L608" s="125"/>
      <c r="M608" s="150"/>
      <c r="N608" s="23" t="s">
        <v>1642</v>
      </c>
      <c r="O608" s="23" t="s">
        <v>29</v>
      </c>
      <c r="P608" s="23" t="s">
        <v>1643</v>
      </c>
      <c r="Q608" s="88">
        <v>4</v>
      </c>
      <c r="R608" s="66">
        <v>45556</v>
      </c>
      <c r="S608" s="54">
        <v>45560</v>
      </c>
      <c r="T608" s="45" t="s">
        <v>19</v>
      </c>
      <c r="U608" s="100">
        <v>4</v>
      </c>
      <c r="V608" s="108">
        <v>0</v>
      </c>
      <c r="W608" s="22" t="s">
        <v>40</v>
      </c>
      <c r="X608" s="22" t="str">
        <f t="shared" si="48"/>
        <v>D2IDW-4-B-20.63</v>
      </c>
      <c r="Y608" s="22" t="s">
        <v>32</v>
      </c>
      <c r="Z608" s="78"/>
    </row>
    <row r="609" spans="1:26" s="70" customFormat="1" ht="24.95" customHeight="1">
      <c r="A609" s="80"/>
      <c r="B609" s="147">
        <v>45536</v>
      </c>
      <c r="C609" s="146" t="s">
        <v>35</v>
      </c>
      <c r="D609" s="59" t="s">
        <v>20</v>
      </c>
      <c r="E609" s="14" t="str">
        <f t="shared" ref="E609:E634" si="50">IF(B569="","",LEFT(N609,3))</f>
        <v>V4A</v>
      </c>
      <c r="F609" s="111" t="s">
        <v>177</v>
      </c>
      <c r="G609" s="15" t="s">
        <v>27</v>
      </c>
      <c r="H609" s="111">
        <v>0.5</v>
      </c>
      <c r="I609" s="22" t="s">
        <v>178</v>
      </c>
      <c r="J609" s="21" t="s">
        <v>1645</v>
      </c>
      <c r="K609" s="21" t="s">
        <v>1646</v>
      </c>
      <c r="L609" s="125" t="s">
        <v>1647</v>
      </c>
      <c r="M609" s="150"/>
      <c r="N609" s="23" t="s">
        <v>1631</v>
      </c>
      <c r="O609" s="23" t="s">
        <v>30</v>
      </c>
      <c r="P609" s="23" t="s">
        <v>54</v>
      </c>
      <c r="Q609" s="88">
        <v>10</v>
      </c>
      <c r="R609" s="66">
        <v>45556</v>
      </c>
      <c r="S609" s="54">
        <v>45560</v>
      </c>
      <c r="T609" s="45" t="s">
        <v>19</v>
      </c>
      <c r="U609" s="100">
        <v>10</v>
      </c>
      <c r="V609" s="108">
        <v>0</v>
      </c>
      <c r="W609" s="22" t="s">
        <v>40</v>
      </c>
      <c r="X609" s="22" t="str">
        <f t="shared" si="48"/>
        <v>D2DSW20.5</v>
      </c>
      <c r="Y609" s="22" t="s">
        <v>32</v>
      </c>
      <c r="Z609" s="78"/>
    </row>
    <row r="610" spans="1:26" s="70" customFormat="1" ht="24.95" customHeight="1">
      <c r="A610" s="80"/>
      <c r="B610" s="147">
        <v>45536</v>
      </c>
      <c r="C610" s="146" t="s">
        <v>35</v>
      </c>
      <c r="D610" s="59" t="s">
        <v>20</v>
      </c>
      <c r="E610" s="14" t="str">
        <f t="shared" si="50"/>
        <v>V6B</v>
      </c>
      <c r="F610" s="111" t="s">
        <v>165</v>
      </c>
      <c r="G610" s="15" t="s">
        <v>27</v>
      </c>
      <c r="H610" s="111">
        <v>1.65</v>
      </c>
      <c r="I610" s="22" t="s">
        <v>321</v>
      </c>
      <c r="J610" s="55" t="s">
        <v>1648</v>
      </c>
      <c r="K610" s="21" t="s">
        <v>831</v>
      </c>
      <c r="L610" s="125" t="s">
        <v>1198</v>
      </c>
      <c r="M610" s="150"/>
      <c r="N610" s="23" t="s">
        <v>1649</v>
      </c>
      <c r="O610" s="23" t="s">
        <v>30</v>
      </c>
      <c r="P610" s="23" t="s">
        <v>1650</v>
      </c>
      <c r="Q610" s="88">
        <v>5</v>
      </c>
      <c r="R610" s="66">
        <v>45557</v>
      </c>
      <c r="S610" s="54">
        <v>45560</v>
      </c>
      <c r="T610" s="45" t="s">
        <v>19</v>
      </c>
      <c r="U610" s="100">
        <v>5</v>
      </c>
      <c r="V610" s="108">
        <v>0</v>
      </c>
      <c r="W610" s="22" t="s">
        <v>40</v>
      </c>
      <c r="X610" s="22" t="str">
        <f t="shared" si="48"/>
        <v>2EIWAD-O1.65</v>
      </c>
      <c r="Y610" s="22" t="s">
        <v>32</v>
      </c>
      <c r="Z610" s="78"/>
    </row>
    <row r="611" spans="1:26" s="70" customFormat="1" ht="24.95" customHeight="1">
      <c r="A611" s="80"/>
      <c r="B611" s="147">
        <v>45536</v>
      </c>
      <c r="C611" s="146" t="s">
        <v>35</v>
      </c>
      <c r="D611" s="59" t="s">
        <v>20</v>
      </c>
      <c r="E611" s="14" t="str">
        <f t="shared" si="50"/>
        <v>VOB</v>
      </c>
      <c r="F611" s="111" t="s">
        <v>42</v>
      </c>
      <c r="G611" s="15" t="s">
        <v>27</v>
      </c>
      <c r="H611" s="111">
        <v>0.75</v>
      </c>
      <c r="I611" s="22" t="s">
        <v>43</v>
      </c>
      <c r="J611" s="21" t="s">
        <v>1651</v>
      </c>
      <c r="K611" s="55" t="s">
        <v>1652</v>
      </c>
      <c r="L611" s="125" t="s">
        <v>1198</v>
      </c>
      <c r="M611" s="150"/>
      <c r="N611" s="23" t="s">
        <v>1653</v>
      </c>
      <c r="O611" s="23" t="s">
        <v>176</v>
      </c>
      <c r="P611" s="23" t="s">
        <v>1654</v>
      </c>
      <c r="Q611" s="88">
        <v>10</v>
      </c>
      <c r="R611" s="66">
        <v>45557</v>
      </c>
      <c r="S611" s="54">
        <v>45560</v>
      </c>
      <c r="T611" s="45" t="s">
        <v>19</v>
      </c>
      <c r="U611" s="100">
        <v>10</v>
      </c>
      <c r="V611" s="108">
        <v>0</v>
      </c>
      <c r="W611" s="22" t="s">
        <v>40</v>
      </c>
      <c r="X611" s="22" t="str">
        <f t="shared" si="48"/>
        <v>D1-PEW-B-2Y0.75</v>
      </c>
      <c r="Y611" s="22" t="s">
        <v>32</v>
      </c>
      <c r="Z611" s="78"/>
    </row>
    <row r="612" spans="1:26" s="70" customFormat="1" ht="24.95" customHeight="1">
      <c r="A612" s="80"/>
      <c r="B612" s="147">
        <v>45536</v>
      </c>
      <c r="C612" s="146" t="s">
        <v>35</v>
      </c>
      <c r="D612" s="59" t="s">
        <v>20</v>
      </c>
      <c r="E612" s="14" t="str">
        <f t="shared" si="50"/>
        <v>V6A</v>
      </c>
      <c r="F612" s="111" t="s">
        <v>186</v>
      </c>
      <c r="G612" s="15" t="s">
        <v>27</v>
      </c>
      <c r="H612" s="111">
        <v>1.18</v>
      </c>
      <c r="I612" s="22" t="s">
        <v>187</v>
      </c>
      <c r="J612" s="21" t="s">
        <v>1655</v>
      </c>
      <c r="K612" s="21" t="s">
        <v>1656</v>
      </c>
      <c r="L612" s="125" t="s">
        <v>1198</v>
      </c>
      <c r="M612" s="150"/>
      <c r="N612" s="23" t="s">
        <v>1657</v>
      </c>
      <c r="O612" s="23" t="s">
        <v>29</v>
      </c>
      <c r="P612" s="23" t="s">
        <v>38</v>
      </c>
      <c r="Q612" s="88">
        <v>5</v>
      </c>
      <c r="R612" s="66">
        <v>45557</v>
      </c>
      <c r="S612" s="54">
        <v>45560</v>
      </c>
      <c r="T612" s="45" t="s">
        <v>19</v>
      </c>
      <c r="U612" s="100">
        <v>5</v>
      </c>
      <c r="V612" s="108">
        <v>0</v>
      </c>
      <c r="W612" s="22" t="s">
        <v>40</v>
      </c>
      <c r="X612" s="22" t="str">
        <f t="shared" si="48"/>
        <v>1HGZ-MA1.18</v>
      </c>
      <c r="Y612" s="22" t="s">
        <v>32</v>
      </c>
      <c r="Z612" s="78"/>
    </row>
    <row r="613" spans="1:26" s="70" customFormat="1" ht="24.95" customHeight="1">
      <c r="A613" s="80"/>
      <c r="B613" s="147">
        <v>45536</v>
      </c>
      <c r="C613" s="146" t="s">
        <v>35</v>
      </c>
      <c r="D613" s="59" t="s">
        <v>20</v>
      </c>
      <c r="E613" s="14" t="str">
        <f t="shared" si="50"/>
        <v>V8B</v>
      </c>
      <c r="F613" s="111" t="s">
        <v>429</v>
      </c>
      <c r="G613" s="15" t="s">
        <v>27</v>
      </c>
      <c r="H613" s="111">
        <v>0.5</v>
      </c>
      <c r="I613" s="22" t="s">
        <v>430</v>
      </c>
      <c r="J613" s="55" t="s">
        <v>1629</v>
      </c>
      <c r="K613" s="21" t="s">
        <v>831</v>
      </c>
      <c r="L613" s="125" t="s">
        <v>1198</v>
      </c>
      <c r="M613" s="150"/>
      <c r="N613" s="23" t="s">
        <v>1658</v>
      </c>
      <c r="O613" s="23" t="s">
        <v>29</v>
      </c>
      <c r="P613" s="23" t="s">
        <v>612</v>
      </c>
      <c r="Q613" s="88">
        <v>3</v>
      </c>
      <c r="R613" s="66">
        <v>45557</v>
      </c>
      <c r="S613" s="54">
        <v>45560</v>
      </c>
      <c r="T613" s="45" t="s">
        <v>19</v>
      </c>
      <c r="U613" s="100">
        <v>3</v>
      </c>
      <c r="V613" s="108">
        <v>0</v>
      </c>
      <c r="W613" s="22" t="s">
        <v>40</v>
      </c>
      <c r="X613" s="22" t="str">
        <f t="shared" si="48"/>
        <v>2-ATZ-3000.5</v>
      </c>
      <c r="Y613" s="22" t="s">
        <v>32</v>
      </c>
      <c r="Z613" s="78"/>
    </row>
    <row r="614" spans="1:26" s="70" customFormat="1" ht="24.95" customHeight="1">
      <c r="A614" s="80"/>
      <c r="B614" s="147">
        <v>45536</v>
      </c>
      <c r="C614" s="146" t="s">
        <v>35</v>
      </c>
      <c r="D614" s="59" t="s">
        <v>20</v>
      </c>
      <c r="E614" s="14" t="str">
        <f t="shared" si="50"/>
        <v>V9B</v>
      </c>
      <c r="F614" s="111" t="s">
        <v>267</v>
      </c>
      <c r="G614" s="15" t="s">
        <v>27</v>
      </c>
      <c r="H614" s="111">
        <v>1.25</v>
      </c>
      <c r="I614" s="22" t="s">
        <v>268</v>
      </c>
      <c r="J614" s="21" t="s">
        <v>1659</v>
      </c>
      <c r="K614" s="21" t="s">
        <v>1660</v>
      </c>
      <c r="L614" s="125"/>
      <c r="M614" s="150"/>
      <c r="N614" s="23" t="s">
        <v>1661</v>
      </c>
      <c r="O614" s="23" t="s">
        <v>39</v>
      </c>
      <c r="P614" s="23" t="s">
        <v>349</v>
      </c>
      <c r="Q614" s="88">
        <v>7</v>
      </c>
      <c r="R614" s="66">
        <v>45557</v>
      </c>
      <c r="S614" s="54">
        <v>45560</v>
      </c>
      <c r="T614" s="45" t="s">
        <v>19</v>
      </c>
      <c r="U614" s="100">
        <v>7</v>
      </c>
      <c r="V614" s="108">
        <v>0</v>
      </c>
      <c r="W614" s="22" t="s">
        <v>40</v>
      </c>
      <c r="X614" s="22" t="str">
        <f t="shared" si="48"/>
        <v>1-ATZ-3001.25</v>
      </c>
      <c r="Y614" s="22" t="s">
        <v>32</v>
      </c>
      <c r="Z614" s="78"/>
    </row>
    <row r="615" spans="1:26" s="70" customFormat="1" ht="24.95" customHeight="1">
      <c r="A615" s="80"/>
      <c r="B615" s="147">
        <v>45536</v>
      </c>
      <c r="C615" s="146" t="s">
        <v>35</v>
      </c>
      <c r="D615" s="59" t="s">
        <v>20</v>
      </c>
      <c r="E615" s="14" t="str">
        <f t="shared" si="50"/>
        <v>V8A</v>
      </c>
      <c r="F615" s="111" t="s">
        <v>343</v>
      </c>
      <c r="G615" s="15" t="s">
        <v>27</v>
      </c>
      <c r="H615" s="111">
        <v>1.35</v>
      </c>
      <c r="I615" s="22" t="s">
        <v>25</v>
      </c>
      <c r="J615" s="55" t="s">
        <v>1629</v>
      </c>
      <c r="K615" s="21" t="s">
        <v>831</v>
      </c>
      <c r="L615" s="125" t="s">
        <v>1198</v>
      </c>
      <c r="M615" s="150"/>
      <c r="N615" s="23" t="s">
        <v>1662</v>
      </c>
      <c r="O615" s="23" t="s">
        <v>30</v>
      </c>
      <c r="P615" s="23" t="s">
        <v>328</v>
      </c>
      <c r="Q615" s="88">
        <v>1</v>
      </c>
      <c r="R615" s="66">
        <v>45557</v>
      </c>
      <c r="S615" s="54">
        <v>45560</v>
      </c>
      <c r="T615" s="45" t="s">
        <v>19</v>
      </c>
      <c r="U615" s="100">
        <v>1</v>
      </c>
      <c r="V615" s="108">
        <v>0</v>
      </c>
      <c r="W615" s="22" t="s">
        <v>40</v>
      </c>
      <c r="X615" s="22" t="str">
        <f t="shared" si="48"/>
        <v>1AIWP1.35</v>
      </c>
      <c r="Y615" s="22" t="s">
        <v>32</v>
      </c>
      <c r="Z615" s="78"/>
    </row>
    <row r="616" spans="1:26" s="70" customFormat="1" ht="24.95" customHeight="1">
      <c r="A616" s="80"/>
      <c r="B616" s="147">
        <v>45536</v>
      </c>
      <c r="C616" s="146" t="s">
        <v>35</v>
      </c>
      <c r="D616" s="59" t="s">
        <v>20</v>
      </c>
      <c r="E616" s="14" t="str">
        <f t="shared" si="50"/>
        <v>VOB</v>
      </c>
      <c r="F616" s="111" t="s">
        <v>42</v>
      </c>
      <c r="G616" s="3" t="s">
        <v>26</v>
      </c>
      <c r="H616" s="111">
        <v>0.75</v>
      </c>
      <c r="I616" s="22" t="s">
        <v>43</v>
      </c>
      <c r="J616" s="21" t="s">
        <v>221</v>
      </c>
      <c r="K616" s="21"/>
      <c r="L616" s="125"/>
      <c r="M616" s="150"/>
      <c r="N616" s="23" t="s">
        <v>1653</v>
      </c>
      <c r="O616" s="23" t="s">
        <v>263</v>
      </c>
      <c r="P616" s="23" t="s">
        <v>1452</v>
      </c>
      <c r="Q616" s="88">
        <v>2</v>
      </c>
      <c r="R616" s="66">
        <v>45558</v>
      </c>
      <c r="S616" s="54">
        <v>45560</v>
      </c>
      <c r="T616" s="45" t="s">
        <v>19</v>
      </c>
      <c r="U616" s="100">
        <v>2</v>
      </c>
      <c r="V616" s="108">
        <v>0</v>
      </c>
      <c r="W616" s="22" t="s">
        <v>40</v>
      </c>
      <c r="X616" s="22" t="str">
        <f t="shared" si="48"/>
        <v>D1-PEW-B-2Y0.75</v>
      </c>
      <c r="Y616" s="22" t="s">
        <v>32</v>
      </c>
      <c r="Z616" s="78"/>
    </row>
    <row r="617" spans="1:26" s="70" customFormat="1" ht="24.95" customHeight="1">
      <c r="A617" s="80"/>
      <c r="B617" s="147">
        <v>45536</v>
      </c>
      <c r="C617" s="146" t="s">
        <v>35</v>
      </c>
      <c r="D617" s="59" t="s">
        <v>20</v>
      </c>
      <c r="E617" s="14" t="str">
        <f t="shared" si="50"/>
        <v>VOB</v>
      </c>
      <c r="F617" s="111" t="s">
        <v>42</v>
      </c>
      <c r="G617" s="3" t="s">
        <v>26</v>
      </c>
      <c r="H617" s="111">
        <v>0.75</v>
      </c>
      <c r="I617" s="22" t="s">
        <v>43</v>
      </c>
      <c r="J617" s="21" t="s">
        <v>221</v>
      </c>
      <c r="K617" s="21"/>
      <c r="L617" s="125" t="s">
        <v>467</v>
      </c>
      <c r="M617" s="150"/>
      <c r="N617" s="23" t="s">
        <v>1663</v>
      </c>
      <c r="O617" s="23" t="s">
        <v>29</v>
      </c>
      <c r="P617" s="23" t="s">
        <v>1417</v>
      </c>
      <c r="Q617" s="88">
        <v>2</v>
      </c>
      <c r="R617" s="66">
        <v>45559</v>
      </c>
      <c r="S617" s="54">
        <v>45560</v>
      </c>
      <c r="T617" s="45" t="s">
        <v>19</v>
      </c>
      <c r="U617" s="100">
        <v>2</v>
      </c>
      <c r="V617" s="108">
        <v>0</v>
      </c>
      <c r="W617" s="22" t="s">
        <v>40</v>
      </c>
      <c r="X617" s="22" t="str">
        <f t="shared" si="48"/>
        <v>D1-PEW-B-2Y0.75</v>
      </c>
      <c r="Y617" s="22" t="s">
        <v>32</v>
      </c>
      <c r="Z617" s="78"/>
    </row>
    <row r="618" spans="1:26" s="70" customFormat="1" ht="24.95" customHeight="1">
      <c r="A618" s="80"/>
      <c r="B618" s="147">
        <v>45536</v>
      </c>
      <c r="C618" s="146" t="s">
        <v>35</v>
      </c>
      <c r="D618" s="59" t="s">
        <v>20</v>
      </c>
      <c r="E618" s="14" t="str">
        <f t="shared" si="50"/>
        <v>VOB</v>
      </c>
      <c r="F618" s="111" t="s">
        <v>42</v>
      </c>
      <c r="G618" s="3" t="s">
        <v>26</v>
      </c>
      <c r="H618" s="111">
        <v>0.75</v>
      </c>
      <c r="I618" s="22" t="s">
        <v>43</v>
      </c>
      <c r="J618" s="21" t="s">
        <v>221</v>
      </c>
      <c r="K618" s="21"/>
      <c r="L618" s="125"/>
      <c r="M618" s="150"/>
      <c r="N618" s="23" t="s">
        <v>1664</v>
      </c>
      <c r="O618" s="23" t="s">
        <v>263</v>
      </c>
      <c r="P618" s="23" t="s">
        <v>1417</v>
      </c>
      <c r="Q618" s="88">
        <v>2</v>
      </c>
      <c r="R618" s="66">
        <v>45559</v>
      </c>
      <c r="S618" s="54">
        <v>45560</v>
      </c>
      <c r="T618" s="45" t="s">
        <v>19</v>
      </c>
      <c r="U618" s="100">
        <v>2</v>
      </c>
      <c r="V618" s="108">
        <v>0</v>
      </c>
      <c r="W618" s="22" t="s">
        <v>40</v>
      </c>
      <c r="X618" s="22" t="str">
        <f t="shared" si="48"/>
        <v>D1-PEW-B-2Y0.75</v>
      </c>
      <c r="Y618" s="22" t="s">
        <v>32</v>
      </c>
      <c r="Z618" s="78"/>
    </row>
    <row r="619" spans="1:26" s="70" customFormat="1" ht="24.95" customHeight="1">
      <c r="A619" s="80"/>
      <c r="B619" s="147">
        <v>45536</v>
      </c>
      <c r="C619" s="146" t="s">
        <v>35</v>
      </c>
      <c r="D619" s="59" t="s">
        <v>20</v>
      </c>
      <c r="E619" s="14" t="str">
        <f t="shared" si="50"/>
        <v>V8C</v>
      </c>
      <c r="F619" s="111" t="s">
        <v>343</v>
      </c>
      <c r="G619" s="15" t="s">
        <v>27</v>
      </c>
      <c r="H619" s="111">
        <v>1.05</v>
      </c>
      <c r="I619" s="22" t="s">
        <v>25</v>
      </c>
      <c r="J619" s="21" t="s">
        <v>260</v>
      </c>
      <c r="K619" s="21" t="s">
        <v>1667</v>
      </c>
      <c r="L619" s="125" t="s">
        <v>1668</v>
      </c>
      <c r="M619" s="150"/>
      <c r="N619" s="23" t="s">
        <v>1669</v>
      </c>
      <c r="O619" s="23" t="s">
        <v>30</v>
      </c>
      <c r="P619" s="23" t="s">
        <v>1640</v>
      </c>
      <c r="Q619" s="88">
        <v>2</v>
      </c>
      <c r="R619" s="66">
        <v>45555</v>
      </c>
      <c r="S619" s="54">
        <v>45561</v>
      </c>
      <c r="T619" s="45" t="s">
        <v>19</v>
      </c>
      <c r="U619" s="100">
        <v>0</v>
      </c>
      <c r="V619" s="108">
        <v>2</v>
      </c>
      <c r="W619" s="22" t="s">
        <v>40</v>
      </c>
      <c r="X619" s="22" t="str">
        <f t="shared" si="48"/>
        <v>1AIWP1.05</v>
      </c>
      <c r="Y619" s="22" t="s">
        <v>182</v>
      </c>
      <c r="Z619" s="78"/>
    </row>
    <row r="620" spans="1:26" s="70" customFormat="1" ht="24.95" customHeight="1">
      <c r="A620" s="80"/>
      <c r="B620" s="147">
        <v>45536</v>
      </c>
      <c r="C620" s="146" t="s">
        <v>35</v>
      </c>
      <c r="D620" s="59" t="s">
        <v>20</v>
      </c>
      <c r="E620" s="14" t="str">
        <f t="shared" si="50"/>
        <v>VOB</v>
      </c>
      <c r="F620" s="111" t="s">
        <v>42</v>
      </c>
      <c r="G620" s="3" t="s">
        <v>26</v>
      </c>
      <c r="H620" s="111">
        <v>0.75</v>
      </c>
      <c r="I620" s="22" t="s">
        <v>43</v>
      </c>
      <c r="J620" s="21" t="s">
        <v>221</v>
      </c>
      <c r="K620" s="21"/>
      <c r="L620" s="126" t="s">
        <v>1670</v>
      </c>
      <c r="M620" s="150"/>
      <c r="N620" s="23" t="s">
        <v>1663</v>
      </c>
      <c r="O620" s="23" t="s">
        <v>30</v>
      </c>
      <c r="P620" s="23" t="s">
        <v>1671</v>
      </c>
      <c r="Q620" s="88">
        <v>3</v>
      </c>
      <c r="R620" s="66">
        <v>45560</v>
      </c>
      <c r="S620" s="54">
        <v>45561</v>
      </c>
      <c r="T620" s="45" t="s">
        <v>19</v>
      </c>
      <c r="U620" s="100">
        <v>3</v>
      </c>
      <c r="V620" s="108">
        <v>0</v>
      </c>
      <c r="W620" s="22" t="s">
        <v>40</v>
      </c>
      <c r="X620" s="22" t="str">
        <f t="shared" si="48"/>
        <v>D1-PEW-B-2Y0.75</v>
      </c>
      <c r="Y620" s="22" t="s">
        <v>32</v>
      </c>
      <c r="Z620" s="78"/>
    </row>
    <row r="621" spans="1:26" s="70" customFormat="1" ht="24.95" customHeight="1">
      <c r="A621" s="80"/>
      <c r="B621" s="147">
        <v>45536</v>
      </c>
      <c r="C621" s="146" t="s">
        <v>35</v>
      </c>
      <c r="D621" s="59" t="s">
        <v>20</v>
      </c>
      <c r="E621" s="14" t="str">
        <f t="shared" si="50"/>
        <v>V6A</v>
      </c>
      <c r="F621" s="111" t="s">
        <v>186</v>
      </c>
      <c r="G621" s="15" t="s">
        <v>27</v>
      </c>
      <c r="H621" s="111">
        <v>1.18</v>
      </c>
      <c r="I621" s="22" t="s">
        <v>187</v>
      </c>
      <c r="J621" s="21" t="s">
        <v>1672</v>
      </c>
      <c r="K621" s="21" t="s">
        <v>1672</v>
      </c>
      <c r="L621" s="125" t="s">
        <v>1198</v>
      </c>
      <c r="M621" s="150"/>
      <c r="N621" s="23" t="s">
        <v>1657</v>
      </c>
      <c r="O621" s="23" t="s">
        <v>39</v>
      </c>
      <c r="P621" s="23" t="s">
        <v>38</v>
      </c>
      <c r="Q621" s="88">
        <v>5</v>
      </c>
      <c r="R621" s="66">
        <v>45559</v>
      </c>
      <c r="S621" s="54">
        <v>45562</v>
      </c>
      <c r="T621" s="45" t="s">
        <v>19</v>
      </c>
      <c r="U621" s="100">
        <v>5</v>
      </c>
      <c r="V621" s="108">
        <v>0</v>
      </c>
      <c r="W621" s="22" t="s">
        <v>40</v>
      </c>
      <c r="X621" s="22" t="str">
        <f t="shared" si="48"/>
        <v>1HGZ-MA1.18</v>
      </c>
      <c r="Y621" s="22" t="s">
        <v>32</v>
      </c>
      <c r="Z621" s="78"/>
    </row>
    <row r="622" spans="1:26" s="70" customFormat="1" ht="24.95" customHeight="1">
      <c r="A622" s="80"/>
      <c r="B622" s="147">
        <v>45536</v>
      </c>
      <c r="C622" s="146" t="s">
        <v>35</v>
      </c>
      <c r="D622" s="59" t="s">
        <v>20</v>
      </c>
      <c r="E622" s="14" t="str">
        <f t="shared" si="50"/>
        <v>V6B</v>
      </c>
      <c r="F622" s="111" t="s">
        <v>165</v>
      </c>
      <c r="G622" s="15" t="s">
        <v>27</v>
      </c>
      <c r="H622" s="111">
        <v>1.65</v>
      </c>
      <c r="I622" s="22" t="s">
        <v>321</v>
      </c>
      <c r="J622" s="21" t="s">
        <v>1673</v>
      </c>
      <c r="K622" s="21" t="s">
        <v>1673</v>
      </c>
      <c r="L622" s="125" t="s">
        <v>208</v>
      </c>
      <c r="M622" s="150"/>
      <c r="N622" s="23" t="s">
        <v>1649</v>
      </c>
      <c r="O622" s="23" t="s">
        <v>29</v>
      </c>
      <c r="P622" s="23" t="s">
        <v>273</v>
      </c>
      <c r="Q622" s="88">
        <v>1</v>
      </c>
      <c r="R622" s="66">
        <v>45558</v>
      </c>
      <c r="S622" s="54">
        <v>45562</v>
      </c>
      <c r="T622" s="45" t="s">
        <v>19</v>
      </c>
      <c r="U622" s="100">
        <v>1</v>
      </c>
      <c r="V622" s="108">
        <v>0</v>
      </c>
      <c r="W622" s="22" t="s">
        <v>40</v>
      </c>
      <c r="X622" s="22" t="str">
        <f t="shared" si="48"/>
        <v>2EIWAD-O1.65</v>
      </c>
      <c r="Y622" s="22" t="s">
        <v>32</v>
      </c>
      <c r="Z622" s="78"/>
    </row>
    <row r="623" spans="1:26" s="70" customFormat="1" ht="24.95" customHeight="1">
      <c r="A623" s="80"/>
      <c r="B623" s="147">
        <v>45536</v>
      </c>
      <c r="C623" s="146" t="s">
        <v>35</v>
      </c>
      <c r="D623" s="59" t="s">
        <v>20</v>
      </c>
      <c r="E623" s="14" t="str">
        <f t="shared" si="50"/>
        <v>V6B</v>
      </c>
      <c r="F623" s="111" t="s">
        <v>165</v>
      </c>
      <c r="G623" s="15" t="s">
        <v>27</v>
      </c>
      <c r="H623" s="111">
        <v>1.65</v>
      </c>
      <c r="I623" s="22" t="s">
        <v>321</v>
      </c>
      <c r="J623" s="55" t="s">
        <v>1674</v>
      </c>
      <c r="K623" s="21" t="s">
        <v>831</v>
      </c>
      <c r="L623" s="125" t="s">
        <v>60</v>
      </c>
      <c r="M623" s="150"/>
      <c r="N623" s="23" t="s">
        <v>1649</v>
      </c>
      <c r="O623" s="23" t="s">
        <v>30</v>
      </c>
      <c r="P623" s="23" t="s">
        <v>273</v>
      </c>
      <c r="Q623" s="88">
        <v>1</v>
      </c>
      <c r="R623" s="66">
        <v>45557</v>
      </c>
      <c r="S623" s="54">
        <v>45562</v>
      </c>
      <c r="T623" s="45" t="s">
        <v>19</v>
      </c>
      <c r="U623" s="100">
        <v>1</v>
      </c>
      <c r="V623" s="108">
        <v>0</v>
      </c>
      <c r="W623" s="22" t="s">
        <v>40</v>
      </c>
      <c r="X623" s="22" t="str">
        <f t="shared" si="48"/>
        <v>2EIWAD-O1.65</v>
      </c>
      <c r="Y623" s="22" t="s">
        <v>32</v>
      </c>
      <c r="Z623" s="78"/>
    </row>
    <row r="624" spans="1:26" s="70" customFormat="1" ht="24.95" customHeight="1">
      <c r="A624" s="80"/>
      <c r="B624" s="147">
        <v>45536</v>
      </c>
      <c r="C624" s="146" t="s">
        <v>35</v>
      </c>
      <c r="D624" s="59" t="s">
        <v>20</v>
      </c>
      <c r="E624" s="14" t="str">
        <f t="shared" si="50"/>
        <v>V6B</v>
      </c>
      <c r="F624" s="111" t="s">
        <v>165</v>
      </c>
      <c r="G624" s="15" t="s">
        <v>27</v>
      </c>
      <c r="H624" s="111">
        <v>1.65</v>
      </c>
      <c r="I624" s="22" t="s">
        <v>321</v>
      </c>
      <c r="J624" s="21" t="s">
        <v>1673</v>
      </c>
      <c r="K624" s="21" t="s">
        <v>1673</v>
      </c>
      <c r="L624" s="125" t="s">
        <v>60</v>
      </c>
      <c r="M624" s="150"/>
      <c r="N624" s="23" t="s">
        <v>1675</v>
      </c>
      <c r="O624" s="23" t="s">
        <v>30</v>
      </c>
      <c r="P624" s="23" t="s">
        <v>273</v>
      </c>
      <c r="Q624" s="88">
        <v>1</v>
      </c>
      <c r="R624" s="66">
        <v>45557</v>
      </c>
      <c r="S624" s="54">
        <v>45562</v>
      </c>
      <c r="T624" s="45" t="s">
        <v>19</v>
      </c>
      <c r="U624" s="100">
        <v>1</v>
      </c>
      <c r="V624" s="108">
        <v>0</v>
      </c>
      <c r="W624" s="22" t="s">
        <v>40</v>
      </c>
      <c r="X624" s="22" t="str">
        <f t="shared" si="48"/>
        <v>2EIWAD-O1.65</v>
      </c>
      <c r="Y624" s="22" t="s">
        <v>32</v>
      </c>
      <c r="Z624" s="78"/>
    </row>
    <row r="625" spans="1:26" s="70" customFormat="1" ht="24.95" customHeight="1">
      <c r="A625" s="80"/>
      <c r="B625" s="147">
        <v>45536</v>
      </c>
      <c r="C625" s="146" t="s">
        <v>35</v>
      </c>
      <c r="D625" s="59" t="s">
        <v>20</v>
      </c>
      <c r="E625" s="14" t="str">
        <f t="shared" si="50"/>
        <v>V6B</v>
      </c>
      <c r="F625" s="111" t="s">
        <v>165</v>
      </c>
      <c r="G625" s="15" t="s">
        <v>27</v>
      </c>
      <c r="H625" s="111">
        <v>1.65</v>
      </c>
      <c r="I625" s="22" t="s">
        <v>321</v>
      </c>
      <c r="J625" s="21" t="s">
        <v>1673</v>
      </c>
      <c r="K625" s="21" t="s">
        <v>1673</v>
      </c>
      <c r="L625" s="125" t="s">
        <v>60</v>
      </c>
      <c r="M625" s="150"/>
      <c r="N625" s="23" t="s">
        <v>1676</v>
      </c>
      <c r="O625" s="23" t="s">
        <v>30</v>
      </c>
      <c r="P625" s="23" t="s">
        <v>273</v>
      </c>
      <c r="Q625" s="88">
        <v>1</v>
      </c>
      <c r="R625" s="66">
        <v>45554</v>
      </c>
      <c r="S625" s="54">
        <v>45562</v>
      </c>
      <c r="T625" s="45" t="s">
        <v>19</v>
      </c>
      <c r="U625" s="100">
        <v>1</v>
      </c>
      <c r="V625" s="108">
        <v>0</v>
      </c>
      <c r="W625" s="22" t="s">
        <v>40</v>
      </c>
      <c r="X625" s="22" t="str">
        <f t="shared" si="48"/>
        <v>2EIWAD-O1.65</v>
      </c>
      <c r="Y625" s="22" t="s">
        <v>32</v>
      </c>
      <c r="Z625" s="78"/>
    </row>
    <row r="626" spans="1:26" s="70" customFormat="1" ht="24.95" customHeight="1">
      <c r="A626" s="80"/>
      <c r="B626" s="147">
        <v>45536</v>
      </c>
      <c r="C626" s="146" t="s">
        <v>35</v>
      </c>
      <c r="D626" s="59" t="s">
        <v>20</v>
      </c>
      <c r="E626" s="14" t="str">
        <f t="shared" si="50"/>
        <v>V6A</v>
      </c>
      <c r="F626" s="111" t="s">
        <v>186</v>
      </c>
      <c r="G626" s="15" t="s">
        <v>27</v>
      </c>
      <c r="H626" s="111">
        <v>1.18</v>
      </c>
      <c r="I626" s="22" t="s">
        <v>187</v>
      </c>
      <c r="J626" s="21" t="s">
        <v>896</v>
      </c>
      <c r="K626" s="21" t="s">
        <v>1679</v>
      </c>
      <c r="L626" s="125" t="s">
        <v>59</v>
      </c>
      <c r="M626" s="150"/>
      <c r="N626" s="23" t="s">
        <v>1680</v>
      </c>
      <c r="O626" s="23" t="s">
        <v>263</v>
      </c>
      <c r="P626" s="23" t="s">
        <v>273</v>
      </c>
      <c r="Q626" s="88">
        <v>1</v>
      </c>
      <c r="R626" s="66">
        <v>45554</v>
      </c>
      <c r="S626" s="54">
        <v>45565</v>
      </c>
      <c r="T626" s="45" t="s">
        <v>19</v>
      </c>
      <c r="U626" s="100">
        <v>1</v>
      </c>
      <c r="V626" s="108">
        <v>0</v>
      </c>
      <c r="W626" s="22" t="s">
        <v>40</v>
      </c>
      <c r="X626" s="22" t="str">
        <f t="shared" si="48"/>
        <v>1HGZ-MA1.18</v>
      </c>
      <c r="Y626" s="22" t="s">
        <v>32</v>
      </c>
      <c r="Z626" s="78"/>
    </row>
    <row r="627" spans="1:26" s="70" customFormat="1" ht="24.95" customHeight="1">
      <c r="A627" s="80"/>
      <c r="B627" s="147">
        <v>45536</v>
      </c>
      <c r="C627" s="146" t="s">
        <v>35</v>
      </c>
      <c r="D627" s="59" t="s">
        <v>20</v>
      </c>
      <c r="E627" s="14" t="str">
        <f t="shared" si="50"/>
        <v>11B</v>
      </c>
      <c r="F627" s="111" t="s">
        <v>24</v>
      </c>
      <c r="G627" s="3" t="s">
        <v>26</v>
      </c>
      <c r="H627" s="111">
        <v>0.8</v>
      </c>
      <c r="I627" s="22" t="s">
        <v>1397</v>
      </c>
      <c r="J627" s="21" t="s">
        <v>1681</v>
      </c>
      <c r="K627" s="21"/>
      <c r="L627" s="125" t="s">
        <v>46</v>
      </c>
      <c r="M627" s="150"/>
      <c r="N627" s="23" t="s">
        <v>1682</v>
      </c>
      <c r="O627" s="23" t="s">
        <v>30</v>
      </c>
      <c r="P627" s="23" t="s">
        <v>328</v>
      </c>
      <c r="Q627" s="88">
        <v>1</v>
      </c>
      <c r="R627" s="66">
        <v>45539</v>
      </c>
      <c r="S627" s="54">
        <v>45552</v>
      </c>
      <c r="T627" s="45" t="s">
        <v>19</v>
      </c>
      <c r="U627" s="100">
        <v>0</v>
      </c>
      <c r="V627" s="108">
        <v>1</v>
      </c>
      <c r="W627" s="22" t="s">
        <v>40</v>
      </c>
      <c r="X627" s="22" t="str">
        <f t="shared" si="48"/>
        <v>2PEW0.8</v>
      </c>
      <c r="Y627" s="22" t="s">
        <v>182</v>
      </c>
      <c r="Z627" s="78"/>
    </row>
    <row r="628" spans="1:26" s="70" customFormat="1" ht="24.95" customHeight="1">
      <c r="A628" s="80"/>
      <c r="B628" s="147">
        <v>45536</v>
      </c>
      <c r="C628" s="146" t="s">
        <v>35</v>
      </c>
      <c r="D628" s="59" t="s">
        <v>20</v>
      </c>
      <c r="E628" s="14" t="str">
        <f t="shared" si="50"/>
        <v>11B</v>
      </c>
      <c r="F628" s="111" t="s">
        <v>24</v>
      </c>
      <c r="G628" s="3" t="s">
        <v>26</v>
      </c>
      <c r="H628" s="111">
        <v>0.85</v>
      </c>
      <c r="I628" s="22" t="s">
        <v>1397</v>
      </c>
      <c r="J628" s="21" t="s">
        <v>1683</v>
      </c>
      <c r="K628" s="21"/>
      <c r="L628" s="125" t="s">
        <v>1684</v>
      </c>
      <c r="M628" s="150"/>
      <c r="N628" s="23" t="s">
        <v>1685</v>
      </c>
      <c r="O628" s="23" t="s">
        <v>382</v>
      </c>
      <c r="P628" s="23" t="s">
        <v>1686</v>
      </c>
      <c r="Q628" s="88">
        <v>2</v>
      </c>
      <c r="R628" s="66">
        <v>45544</v>
      </c>
      <c r="S628" s="54">
        <v>45565</v>
      </c>
      <c r="T628" s="45" t="s">
        <v>19</v>
      </c>
      <c r="U628" s="100">
        <v>0</v>
      </c>
      <c r="V628" s="108">
        <v>2</v>
      </c>
      <c r="W628" s="22" t="s">
        <v>40</v>
      </c>
      <c r="X628" s="22" t="str">
        <f t="shared" si="48"/>
        <v>2PEW0.85</v>
      </c>
      <c r="Y628" s="22" t="s">
        <v>182</v>
      </c>
      <c r="Z628" s="78"/>
    </row>
    <row r="629" spans="1:26" s="70" customFormat="1" ht="24.95" customHeight="1">
      <c r="A629" s="80"/>
      <c r="B629" s="147">
        <v>45536</v>
      </c>
      <c r="C629" s="146" t="s">
        <v>35</v>
      </c>
      <c r="D629" s="59" t="s">
        <v>20</v>
      </c>
      <c r="E629" s="14" t="str">
        <f t="shared" si="50"/>
        <v>VOA</v>
      </c>
      <c r="F629" s="111" t="s">
        <v>42</v>
      </c>
      <c r="G629" s="3" t="s">
        <v>26</v>
      </c>
      <c r="H629" s="111">
        <v>0.7</v>
      </c>
      <c r="I629" s="22" t="s">
        <v>43</v>
      </c>
      <c r="J629" s="21" t="s">
        <v>53</v>
      </c>
      <c r="K629" s="21"/>
      <c r="L629" s="125"/>
      <c r="M629" s="150"/>
      <c r="N629" s="23" t="s">
        <v>1687</v>
      </c>
      <c r="O629" s="23" t="s">
        <v>29</v>
      </c>
      <c r="P629" s="23" t="s">
        <v>1083</v>
      </c>
      <c r="Q629" s="88">
        <v>4</v>
      </c>
      <c r="R629" s="66">
        <v>45562</v>
      </c>
      <c r="S629" s="54">
        <v>45565</v>
      </c>
      <c r="T629" s="45" t="s">
        <v>19</v>
      </c>
      <c r="U629" s="100">
        <v>4</v>
      </c>
      <c r="V629" s="108">
        <v>0</v>
      </c>
      <c r="W629" s="22" t="s">
        <v>40</v>
      </c>
      <c r="X629" s="22" t="str">
        <f t="shared" si="48"/>
        <v>D1-PEW-B-2Y0.7</v>
      </c>
      <c r="Y629" s="22" t="s">
        <v>32</v>
      </c>
      <c r="Z629" s="78"/>
    </row>
    <row r="630" spans="1:26" s="70" customFormat="1" ht="24.95" customHeight="1">
      <c r="A630" s="80"/>
      <c r="B630" s="147">
        <v>45536</v>
      </c>
      <c r="C630" s="146" t="s">
        <v>35</v>
      </c>
      <c r="D630" s="59" t="s">
        <v>20</v>
      </c>
      <c r="E630" s="14" t="str">
        <f t="shared" si="50"/>
        <v>VOA</v>
      </c>
      <c r="F630" s="111" t="s">
        <v>42</v>
      </c>
      <c r="G630" s="3" t="s">
        <v>26</v>
      </c>
      <c r="H630" s="111">
        <v>0.7</v>
      </c>
      <c r="I630" s="22" t="s">
        <v>43</v>
      </c>
      <c r="J630" s="21" t="s">
        <v>53</v>
      </c>
      <c r="K630" s="21"/>
      <c r="L630" s="125" t="s">
        <v>208</v>
      </c>
      <c r="M630" s="150"/>
      <c r="N630" s="23" t="s">
        <v>1687</v>
      </c>
      <c r="O630" s="23" t="s">
        <v>39</v>
      </c>
      <c r="P630" s="23" t="s">
        <v>1671</v>
      </c>
      <c r="Q630" s="88">
        <v>3</v>
      </c>
      <c r="R630" s="66">
        <v>45563</v>
      </c>
      <c r="S630" s="54">
        <v>45565</v>
      </c>
      <c r="T630" s="45" t="s">
        <v>19</v>
      </c>
      <c r="U630" s="100">
        <v>3</v>
      </c>
      <c r="V630" s="108">
        <v>0</v>
      </c>
      <c r="W630" s="22" t="s">
        <v>40</v>
      </c>
      <c r="X630" s="22" t="str">
        <f t="shared" si="48"/>
        <v>D1-PEW-B-2Y0.7</v>
      </c>
      <c r="Y630" s="22" t="s">
        <v>32</v>
      </c>
      <c r="Z630" s="78"/>
    </row>
    <row r="631" spans="1:26" s="70" customFormat="1" ht="24.95" customHeight="1">
      <c r="A631" s="80"/>
      <c r="B631" s="147">
        <v>45536</v>
      </c>
      <c r="C631" s="146" t="s">
        <v>35</v>
      </c>
      <c r="D631" s="59" t="s">
        <v>20</v>
      </c>
      <c r="E631" s="14" t="str">
        <f t="shared" si="50"/>
        <v>V8B</v>
      </c>
      <c r="F631" s="111" t="s">
        <v>429</v>
      </c>
      <c r="G631" s="3" t="s">
        <v>26</v>
      </c>
      <c r="H631" s="111">
        <v>0.5</v>
      </c>
      <c r="I631" s="22" t="s">
        <v>430</v>
      </c>
      <c r="J631" s="21" t="s">
        <v>44</v>
      </c>
      <c r="K631" s="21"/>
      <c r="L631" s="125" t="s">
        <v>1695</v>
      </c>
      <c r="M631" s="150"/>
      <c r="N631" s="23" t="s">
        <v>1696</v>
      </c>
      <c r="O631" s="23" t="s">
        <v>1697</v>
      </c>
      <c r="P631" s="23" t="s">
        <v>328</v>
      </c>
      <c r="Q631" s="88">
        <v>3</v>
      </c>
      <c r="R631" s="66">
        <v>45562</v>
      </c>
      <c r="S631" s="54">
        <v>45575</v>
      </c>
      <c r="T631" s="45" t="s">
        <v>19</v>
      </c>
      <c r="U631" s="100">
        <v>0</v>
      </c>
      <c r="V631" s="108">
        <v>3</v>
      </c>
      <c r="W631" s="22" t="s">
        <v>40</v>
      </c>
      <c r="X631" s="22" t="str">
        <f t="shared" si="48"/>
        <v>2-ATZ-3000.5</v>
      </c>
      <c r="Y631" s="22" t="s">
        <v>182</v>
      </c>
      <c r="Z631" s="78"/>
    </row>
    <row r="632" spans="1:26" s="70" customFormat="1" ht="24.95" customHeight="1">
      <c r="A632" s="80"/>
      <c r="B632" s="147">
        <v>45536</v>
      </c>
      <c r="C632" s="146" t="s">
        <v>35</v>
      </c>
      <c r="D632" s="59" t="s">
        <v>20</v>
      </c>
      <c r="E632" s="14" t="str">
        <f t="shared" si="50"/>
        <v>V8B</v>
      </c>
      <c r="F632" s="111" t="s">
        <v>429</v>
      </c>
      <c r="G632" s="3" t="s">
        <v>26</v>
      </c>
      <c r="H632" s="111">
        <v>0.5</v>
      </c>
      <c r="I632" s="22" t="s">
        <v>430</v>
      </c>
      <c r="J632" s="21" t="s">
        <v>1698</v>
      </c>
      <c r="K632" s="21"/>
      <c r="L632" s="125" t="s">
        <v>1695</v>
      </c>
      <c r="M632" s="150"/>
      <c r="N632" s="23" t="s">
        <v>1699</v>
      </c>
      <c r="O632" s="23" t="s">
        <v>1262</v>
      </c>
      <c r="P632" s="23" t="s">
        <v>328</v>
      </c>
      <c r="Q632" s="88">
        <v>1</v>
      </c>
      <c r="R632" s="66">
        <v>45562</v>
      </c>
      <c r="S632" s="54">
        <v>45575</v>
      </c>
      <c r="T632" s="45" t="s">
        <v>19</v>
      </c>
      <c r="U632" s="100">
        <v>0</v>
      </c>
      <c r="V632" s="108">
        <v>1</v>
      </c>
      <c r="W632" s="22" t="s">
        <v>40</v>
      </c>
      <c r="X632" s="22" t="str">
        <f t="shared" si="48"/>
        <v>2-ATZ-3000.5</v>
      </c>
      <c r="Y632" s="22" t="s">
        <v>182</v>
      </c>
      <c r="Z632" s="78"/>
    </row>
    <row r="633" spans="1:26" s="70" customFormat="1" ht="24.95" customHeight="1">
      <c r="A633" s="80"/>
      <c r="B633" s="147">
        <v>45536</v>
      </c>
      <c r="C633" s="146" t="s">
        <v>35</v>
      </c>
      <c r="D633" s="59" t="s">
        <v>20</v>
      </c>
      <c r="E633" s="14" t="str">
        <f t="shared" si="50"/>
        <v>V8B</v>
      </c>
      <c r="F633" s="111" t="s">
        <v>429</v>
      </c>
      <c r="G633" s="3" t="s">
        <v>26</v>
      </c>
      <c r="H633" s="111">
        <v>0.5</v>
      </c>
      <c r="I633" s="22" t="s">
        <v>430</v>
      </c>
      <c r="J633" s="21" t="s">
        <v>575</v>
      </c>
      <c r="K633" s="21"/>
      <c r="L633" s="125" t="s">
        <v>208</v>
      </c>
      <c r="M633" s="150"/>
      <c r="N633" s="23" t="s">
        <v>1700</v>
      </c>
      <c r="O633" s="23" t="s">
        <v>193</v>
      </c>
      <c r="P633" s="23" t="s">
        <v>389</v>
      </c>
      <c r="Q633" s="88">
        <v>2</v>
      </c>
      <c r="R633" s="66">
        <v>45562</v>
      </c>
      <c r="S633" s="54">
        <v>45570</v>
      </c>
      <c r="T633" s="45" t="s">
        <v>19</v>
      </c>
      <c r="U633" s="100">
        <v>0</v>
      </c>
      <c r="V633" s="108">
        <v>2</v>
      </c>
      <c r="W633" s="22" t="s">
        <v>40</v>
      </c>
      <c r="X633" s="22" t="str">
        <f t="shared" si="48"/>
        <v>2-ATZ-3000.5</v>
      </c>
      <c r="Y633" s="22" t="s">
        <v>182</v>
      </c>
      <c r="Z633" s="78"/>
    </row>
    <row r="634" spans="1:26" s="70" customFormat="1" ht="24.95" customHeight="1">
      <c r="A634" s="80"/>
      <c r="B634" s="147">
        <v>45536</v>
      </c>
      <c r="C634" s="151" t="s">
        <v>51</v>
      </c>
      <c r="D634" s="59" t="s">
        <v>20</v>
      </c>
      <c r="E634" s="14" t="str">
        <f t="shared" si="50"/>
        <v>H5A</v>
      </c>
      <c r="F634" s="111" t="s">
        <v>301</v>
      </c>
      <c r="G634" s="3" t="s">
        <v>26</v>
      </c>
      <c r="H634" s="111">
        <v>0.19</v>
      </c>
      <c r="I634" s="22" t="s">
        <v>302</v>
      </c>
      <c r="J634" s="21" t="s">
        <v>162</v>
      </c>
      <c r="K634" s="21" t="s">
        <v>162</v>
      </c>
      <c r="L634" s="125" t="s">
        <v>1573</v>
      </c>
      <c r="M634" s="150"/>
      <c r="N634" s="23" t="s">
        <v>1574</v>
      </c>
      <c r="O634" s="23" t="s">
        <v>847</v>
      </c>
      <c r="P634" s="23" t="s">
        <v>328</v>
      </c>
      <c r="Q634" s="88">
        <v>3</v>
      </c>
      <c r="R634" s="66">
        <v>45545</v>
      </c>
      <c r="S634" s="54">
        <v>45548</v>
      </c>
      <c r="T634" s="45" t="s">
        <v>19</v>
      </c>
      <c r="U634" s="100">
        <v>3</v>
      </c>
      <c r="V634" s="108">
        <v>0</v>
      </c>
      <c r="W634" s="22" t="s">
        <v>40</v>
      </c>
      <c r="X634" s="22" t="str">
        <f t="shared" si="48"/>
        <v>2-AIW0.19</v>
      </c>
      <c r="Y634" s="22" t="s">
        <v>32</v>
      </c>
      <c r="Z634" s="78"/>
    </row>
    <row r="635" spans="1:26" s="70" customFormat="1" ht="24.95" customHeight="1">
      <c r="A635" s="80"/>
      <c r="B635" s="147">
        <v>45536</v>
      </c>
      <c r="C635" s="151" t="s">
        <v>51</v>
      </c>
      <c r="D635" s="59" t="s">
        <v>20</v>
      </c>
      <c r="E635" s="14" t="str">
        <f>IF(B587="","",LEFT(N635,3))</f>
        <v>H1B</v>
      </c>
      <c r="F635" s="111" t="s">
        <v>52</v>
      </c>
      <c r="G635" s="3" t="s">
        <v>26</v>
      </c>
      <c r="H635" s="111">
        <v>0.26</v>
      </c>
      <c r="I635" s="22" t="s">
        <v>43</v>
      </c>
      <c r="J635" s="21" t="s">
        <v>1575</v>
      </c>
      <c r="K635" s="55"/>
      <c r="L635" s="125" t="s">
        <v>1576</v>
      </c>
      <c r="M635" s="150"/>
      <c r="N635" s="23" t="s">
        <v>1577</v>
      </c>
      <c r="O635" s="23" t="s">
        <v>29</v>
      </c>
      <c r="P635" s="23" t="s">
        <v>1578</v>
      </c>
      <c r="Q635" s="88">
        <v>2</v>
      </c>
      <c r="R635" s="66">
        <v>45543</v>
      </c>
      <c r="S635" s="54">
        <v>45546</v>
      </c>
      <c r="T635" s="45" t="s">
        <v>19</v>
      </c>
      <c r="U635" s="100">
        <v>2</v>
      </c>
      <c r="V635" s="108">
        <v>0</v>
      </c>
      <c r="W635" s="22" t="s">
        <v>40</v>
      </c>
      <c r="X635" s="22" t="str">
        <f t="shared" si="48"/>
        <v>D2IDW4-B-20.26</v>
      </c>
      <c r="Y635" s="22" t="s">
        <v>32</v>
      </c>
      <c r="Z635" s="78"/>
    </row>
    <row r="636" spans="1:26" s="70" customFormat="1" ht="24.95" customHeight="1">
      <c r="A636" s="80"/>
      <c r="B636" s="147">
        <v>45536</v>
      </c>
      <c r="C636" s="151" t="s">
        <v>51</v>
      </c>
      <c r="D636" s="59" t="s">
        <v>20</v>
      </c>
      <c r="E636" s="14" t="str">
        <f>IF(B588="","",LEFT(N636,3))</f>
        <v>H5B</v>
      </c>
      <c r="F636" s="111" t="s">
        <v>301</v>
      </c>
      <c r="G636" s="3" t="s">
        <v>26</v>
      </c>
      <c r="H636" s="111">
        <v>0.19</v>
      </c>
      <c r="I636" s="22" t="s">
        <v>302</v>
      </c>
      <c r="J636" s="21" t="s">
        <v>1579</v>
      </c>
      <c r="K636" s="55" t="s">
        <v>1580</v>
      </c>
      <c r="L636" s="125" t="s">
        <v>1581</v>
      </c>
      <c r="M636" s="150"/>
      <c r="N636" s="23" t="s">
        <v>1582</v>
      </c>
      <c r="O636" s="23" t="s">
        <v>30</v>
      </c>
      <c r="P636" s="23" t="s">
        <v>328</v>
      </c>
      <c r="Q636" s="88">
        <v>1</v>
      </c>
      <c r="R636" s="66">
        <v>45541</v>
      </c>
      <c r="S636" s="54">
        <v>45546</v>
      </c>
      <c r="T636" s="45" t="s">
        <v>19</v>
      </c>
      <c r="U636" s="100">
        <v>1</v>
      </c>
      <c r="V636" s="108">
        <v>0</v>
      </c>
      <c r="W636" s="22" t="s">
        <v>40</v>
      </c>
      <c r="X636" s="22" t="str">
        <f t="shared" si="48"/>
        <v>2-AIW0.19</v>
      </c>
      <c r="Y636" s="22" t="s">
        <v>32</v>
      </c>
      <c r="Z636" s="78"/>
    </row>
    <row r="637" spans="1:26" s="70" customFormat="1" ht="24.95" customHeight="1">
      <c r="A637" s="80"/>
      <c r="B637" s="147">
        <v>45536</v>
      </c>
      <c r="C637" s="151" t="s">
        <v>51</v>
      </c>
      <c r="D637" s="59" t="s">
        <v>20</v>
      </c>
      <c r="E637" s="14" t="str">
        <f>IF(B589="","",LEFT(N637,3))</f>
        <v>H5A</v>
      </c>
      <c r="F637" s="111" t="s">
        <v>301</v>
      </c>
      <c r="G637" s="3" t="s">
        <v>26</v>
      </c>
      <c r="H637" s="111">
        <v>0.19</v>
      </c>
      <c r="I637" s="22" t="s">
        <v>302</v>
      </c>
      <c r="J637" s="21" t="s">
        <v>317</v>
      </c>
      <c r="L637" s="55" t="s">
        <v>1583</v>
      </c>
      <c r="M637" s="150"/>
      <c r="N637" s="23" t="s">
        <v>1574</v>
      </c>
      <c r="O637" s="23" t="s">
        <v>176</v>
      </c>
      <c r="P637" s="23" t="s">
        <v>328</v>
      </c>
      <c r="Q637" s="88">
        <v>2</v>
      </c>
      <c r="R637" s="66">
        <v>45546</v>
      </c>
      <c r="S637" s="54">
        <v>45548</v>
      </c>
      <c r="T637" s="45" t="s">
        <v>19</v>
      </c>
      <c r="U637" s="100">
        <v>2</v>
      </c>
      <c r="V637" s="108">
        <v>0</v>
      </c>
      <c r="W637" s="22" t="s">
        <v>40</v>
      </c>
      <c r="X637" s="22" t="str">
        <f t="shared" si="48"/>
        <v>2-AIW0.19</v>
      </c>
      <c r="Y637" s="22" t="s">
        <v>32</v>
      </c>
      <c r="Z637" s="78"/>
    </row>
    <row r="638" spans="1:26" s="70" customFormat="1" ht="24.95" customHeight="1">
      <c r="A638" s="80"/>
      <c r="B638" s="147">
        <v>45536</v>
      </c>
      <c r="C638" s="151" t="s">
        <v>51</v>
      </c>
      <c r="D638" s="59" t="s">
        <v>20</v>
      </c>
      <c r="E638" s="14" t="str">
        <f t="shared" ref="E638:E650" si="51">IF(B554="","",LEFT(N638,3))</f>
        <v>H4B</v>
      </c>
      <c r="F638" s="111" t="s">
        <v>1584</v>
      </c>
      <c r="G638" s="3" t="s">
        <v>26</v>
      </c>
      <c r="H638" s="111">
        <v>0.4</v>
      </c>
      <c r="I638" s="22" t="s">
        <v>268</v>
      </c>
      <c r="J638" s="21" t="s">
        <v>1585</v>
      </c>
      <c r="K638" s="21" t="s">
        <v>1585</v>
      </c>
      <c r="L638" s="21" t="s">
        <v>1586</v>
      </c>
      <c r="M638" s="150"/>
      <c r="N638" s="23" t="s">
        <v>1587</v>
      </c>
      <c r="O638" s="23" t="s">
        <v>29</v>
      </c>
      <c r="P638" s="23" t="s">
        <v>328</v>
      </c>
      <c r="Q638" s="88">
        <v>1</v>
      </c>
      <c r="R638" s="66">
        <v>45545</v>
      </c>
      <c r="S638" s="54">
        <v>45548</v>
      </c>
      <c r="T638" s="45" t="s">
        <v>19</v>
      </c>
      <c r="U638" s="100">
        <v>1</v>
      </c>
      <c r="V638" s="108">
        <v>0</v>
      </c>
      <c r="W638" s="22" t="s">
        <v>40</v>
      </c>
      <c r="X638" s="22" t="str">
        <f t="shared" si="48"/>
        <v>1UEW0.4</v>
      </c>
      <c r="Y638" s="22" t="s">
        <v>32</v>
      </c>
      <c r="Z638" s="78"/>
    </row>
    <row r="639" spans="1:26" s="70" customFormat="1" ht="24.95" customHeight="1">
      <c r="A639" s="80"/>
      <c r="B639" s="147">
        <v>45536</v>
      </c>
      <c r="C639" s="151" t="s">
        <v>51</v>
      </c>
      <c r="D639" s="59" t="s">
        <v>20</v>
      </c>
      <c r="E639" s="14" t="str">
        <f t="shared" si="51"/>
        <v>H2A</v>
      </c>
      <c r="F639" s="111" t="s">
        <v>52</v>
      </c>
      <c r="G639" s="3" t="s">
        <v>26</v>
      </c>
      <c r="H639" s="111">
        <v>0.26</v>
      </c>
      <c r="I639" s="22" t="s">
        <v>31</v>
      </c>
      <c r="J639" s="21" t="s">
        <v>299</v>
      </c>
      <c r="K639" s="21" t="s">
        <v>1585</v>
      </c>
      <c r="L639" s="21" t="s">
        <v>1613</v>
      </c>
      <c r="M639" s="150"/>
      <c r="N639" s="23" t="s">
        <v>1614</v>
      </c>
      <c r="O639" s="23" t="s">
        <v>30</v>
      </c>
      <c r="P639" s="23" t="s">
        <v>1452</v>
      </c>
      <c r="Q639" s="88">
        <v>2</v>
      </c>
      <c r="R639" s="66">
        <v>45553</v>
      </c>
      <c r="S639" s="54">
        <v>45559</v>
      </c>
      <c r="T639" s="45" t="s">
        <v>19</v>
      </c>
      <c r="U639" s="100">
        <v>2</v>
      </c>
      <c r="V639" s="108">
        <v>0</v>
      </c>
      <c r="W639" s="22" t="s">
        <v>40</v>
      </c>
      <c r="X639" s="22" t="str">
        <f t="shared" ref="X639:X645" si="52">F639&amp;H639</f>
        <v>D2IDW4-B-20.26</v>
      </c>
      <c r="Y639" s="22" t="s">
        <v>32</v>
      </c>
      <c r="Z639" s="78"/>
    </row>
    <row r="640" spans="1:26" s="70" customFormat="1" ht="24.95" customHeight="1">
      <c r="A640" s="80"/>
      <c r="B640" s="147">
        <v>45536</v>
      </c>
      <c r="C640" s="151" t="s">
        <v>51</v>
      </c>
      <c r="D640" s="59" t="s">
        <v>20</v>
      </c>
      <c r="E640" s="14" t="str">
        <f t="shared" si="51"/>
        <v>H2B</v>
      </c>
      <c r="F640" s="111" t="s">
        <v>285</v>
      </c>
      <c r="G640" s="3" t="s">
        <v>26</v>
      </c>
      <c r="H640" s="111">
        <v>0.4</v>
      </c>
      <c r="I640" s="22" t="s">
        <v>286</v>
      </c>
      <c r="J640" s="21" t="s">
        <v>221</v>
      </c>
      <c r="K640" s="21"/>
      <c r="L640" s="21" t="s">
        <v>1615</v>
      </c>
      <c r="M640" s="150"/>
      <c r="N640" s="23" t="s">
        <v>1616</v>
      </c>
      <c r="O640" s="23" t="s">
        <v>30</v>
      </c>
      <c r="P640" s="23" t="s">
        <v>1617</v>
      </c>
      <c r="Q640" s="88">
        <v>3</v>
      </c>
      <c r="R640" s="66">
        <v>45556</v>
      </c>
      <c r="S640" s="54">
        <v>45559</v>
      </c>
      <c r="T640" s="45" t="s">
        <v>19</v>
      </c>
      <c r="U640" s="100">
        <v>3</v>
      </c>
      <c r="V640" s="108">
        <v>0</v>
      </c>
      <c r="W640" s="22" t="s">
        <v>40</v>
      </c>
      <c r="X640" s="22" t="str">
        <f t="shared" si="52"/>
        <v>1-UTZ0.4</v>
      </c>
      <c r="Y640" s="22" t="s">
        <v>32</v>
      </c>
      <c r="Z640" s="78"/>
    </row>
    <row r="641" spans="1:26" s="70" customFormat="1" ht="24.95" customHeight="1">
      <c r="A641" s="80"/>
      <c r="B641" s="147">
        <v>45536</v>
      </c>
      <c r="C641" s="151" t="s">
        <v>51</v>
      </c>
      <c r="D641" s="59" t="s">
        <v>20</v>
      </c>
      <c r="E641" s="14" t="str">
        <f t="shared" si="51"/>
        <v>H2A</v>
      </c>
      <c r="F641" s="111" t="s">
        <v>52</v>
      </c>
      <c r="G641" s="3" t="s">
        <v>26</v>
      </c>
      <c r="H641" s="111">
        <v>0.26</v>
      </c>
      <c r="I641" s="22" t="s">
        <v>31</v>
      </c>
      <c r="J641" s="21" t="s">
        <v>299</v>
      </c>
      <c r="K641" s="21"/>
      <c r="L641" s="21" t="s">
        <v>1156</v>
      </c>
      <c r="M641" s="150"/>
      <c r="N641" s="23" t="s">
        <v>1618</v>
      </c>
      <c r="O641" s="23" t="s">
        <v>176</v>
      </c>
      <c r="P641" s="23" t="s">
        <v>1619</v>
      </c>
      <c r="Q641" s="88">
        <v>3</v>
      </c>
      <c r="R641" s="66">
        <v>45550</v>
      </c>
      <c r="S641" s="54">
        <v>45559</v>
      </c>
      <c r="T641" s="45" t="s">
        <v>19</v>
      </c>
      <c r="U641" s="100">
        <v>3</v>
      </c>
      <c r="V641" s="108">
        <v>0</v>
      </c>
      <c r="W641" s="22" t="s">
        <v>40</v>
      </c>
      <c r="X641" s="22" t="str">
        <f t="shared" si="52"/>
        <v>D2IDW4-B-20.26</v>
      </c>
      <c r="Y641" s="22" t="s">
        <v>32</v>
      </c>
      <c r="Z641" s="78"/>
    </row>
    <row r="642" spans="1:26" s="70" customFormat="1" ht="24.95" customHeight="1">
      <c r="A642" s="80"/>
      <c r="B642" s="147">
        <v>45536</v>
      </c>
      <c r="C642" s="151" t="s">
        <v>51</v>
      </c>
      <c r="D642" s="59" t="s">
        <v>20</v>
      </c>
      <c r="E642" s="14" t="str">
        <f t="shared" si="51"/>
        <v>H1A</v>
      </c>
      <c r="F642" s="111" t="s">
        <v>52</v>
      </c>
      <c r="G642" s="3" t="s">
        <v>26</v>
      </c>
      <c r="H642" s="111">
        <v>0.26</v>
      </c>
      <c r="I642" s="22" t="s">
        <v>43</v>
      </c>
      <c r="J642" s="21" t="s">
        <v>221</v>
      </c>
      <c r="K642" s="21" t="s">
        <v>221</v>
      </c>
      <c r="L642" s="21"/>
      <c r="M642" s="150"/>
      <c r="N642" s="23" t="s">
        <v>1620</v>
      </c>
      <c r="O642" s="23" t="s">
        <v>30</v>
      </c>
      <c r="P642" s="23" t="s">
        <v>1621</v>
      </c>
      <c r="Q642" s="88">
        <v>3</v>
      </c>
      <c r="R642" s="66">
        <v>45556</v>
      </c>
      <c r="S642" s="54">
        <v>45559</v>
      </c>
      <c r="T642" s="45" t="s">
        <v>19</v>
      </c>
      <c r="U642" s="100">
        <v>3</v>
      </c>
      <c r="V642" s="108">
        <v>0</v>
      </c>
      <c r="W642" s="22" t="s">
        <v>40</v>
      </c>
      <c r="X642" s="22" t="str">
        <f t="shared" si="52"/>
        <v>D2IDW4-B-20.26</v>
      </c>
      <c r="Y642" s="22" t="s">
        <v>32</v>
      </c>
      <c r="Z642" s="78"/>
    </row>
    <row r="643" spans="1:26" s="70" customFormat="1" ht="24.95" customHeight="1">
      <c r="A643" s="80"/>
      <c r="B643" s="147">
        <v>45536</v>
      </c>
      <c r="C643" s="151" t="s">
        <v>51</v>
      </c>
      <c r="D643" s="59" t="s">
        <v>20</v>
      </c>
      <c r="E643" s="14" t="str">
        <f t="shared" si="51"/>
        <v>H2B</v>
      </c>
      <c r="F643" s="111" t="s">
        <v>285</v>
      </c>
      <c r="G643" s="3" t="s">
        <v>26</v>
      </c>
      <c r="H643" s="111">
        <v>0.4</v>
      </c>
      <c r="I643" s="22" t="s">
        <v>286</v>
      </c>
      <c r="J643" s="21" t="s">
        <v>657</v>
      </c>
      <c r="K643" s="21"/>
      <c r="L643" s="21" t="s">
        <v>1622</v>
      </c>
      <c r="M643" s="150"/>
      <c r="N643" s="23" t="s">
        <v>1623</v>
      </c>
      <c r="O643" s="23" t="s">
        <v>176</v>
      </c>
      <c r="P643" s="23" t="s">
        <v>1624</v>
      </c>
      <c r="Q643" s="88">
        <v>3</v>
      </c>
      <c r="R643" s="66">
        <v>45558</v>
      </c>
      <c r="S643" s="54">
        <v>45559</v>
      </c>
      <c r="T643" s="45" t="s">
        <v>19</v>
      </c>
      <c r="U643" s="100">
        <v>3</v>
      </c>
      <c r="V643" s="108">
        <v>0</v>
      </c>
      <c r="W643" s="22" t="s">
        <v>40</v>
      </c>
      <c r="X643" s="22" t="str">
        <f t="shared" si="52"/>
        <v>1-UTZ0.4</v>
      </c>
      <c r="Y643" s="22" t="s">
        <v>32</v>
      </c>
      <c r="Z643" s="78"/>
    </row>
    <row r="644" spans="1:26" s="70" customFormat="1" ht="24.95" customHeight="1">
      <c r="A644" s="80"/>
      <c r="B644" s="147">
        <v>45536</v>
      </c>
      <c r="C644" s="151" t="s">
        <v>51</v>
      </c>
      <c r="D644" s="59" t="s">
        <v>20</v>
      </c>
      <c r="E644" s="14" t="str">
        <f t="shared" si="51"/>
        <v>H1A</v>
      </c>
      <c r="F644" s="111" t="s">
        <v>52</v>
      </c>
      <c r="G644" s="3" t="s">
        <v>26</v>
      </c>
      <c r="H644" s="111">
        <v>0.26</v>
      </c>
      <c r="I644" s="22" t="s">
        <v>43</v>
      </c>
      <c r="J644" s="21" t="s">
        <v>1625</v>
      </c>
      <c r="K644" s="21"/>
      <c r="L644" s="21" t="s">
        <v>1003</v>
      </c>
      <c r="M644" s="150"/>
      <c r="N644" s="23" t="s">
        <v>1626</v>
      </c>
      <c r="O644" s="23" t="s">
        <v>30</v>
      </c>
      <c r="P644" s="23" t="s">
        <v>1024</v>
      </c>
      <c r="Q644" s="88">
        <v>2</v>
      </c>
      <c r="R644" s="66">
        <v>45557</v>
      </c>
      <c r="S644" s="54">
        <v>45559</v>
      </c>
      <c r="T644" s="45" t="s">
        <v>19</v>
      </c>
      <c r="U644" s="100">
        <v>2</v>
      </c>
      <c r="V644" s="108">
        <v>0</v>
      </c>
      <c r="W644" s="22" t="s">
        <v>40</v>
      </c>
      <c r="X644" s="22" t="str">
        <f t="shared" si="52"/>
        <v>D2IDW4-B-20.26</v>
      </c>
      <c r="Y644" s="22" t="s">
        <v>32</v>
      </c>
      <c r="Z644" s="78"/>
    </row>
    <row r="645" spans="1:26" s="70" customFormat="1" ht="24.95" customHeight="1">
      <c r="A645" s="80"/>
      <c r="B645" s="147">
        <v>45536</v>
      </c>
      <c r="C645" s="151" t="s">
        <v>51</v>
      </c>
      <c r="D645" s="59" t="s">
        <v>20</v>
      </c>
      <c r="E645" s="14" t="str">
        <f t="shared" si="51"/>
        <v>H5B</v>
      </c>
      <c r="F645" s="111" t="s">
        <v>305</v>
      </c>
      <c r="G645" s="3" t="s">
        <v>26</v>
      </c>
      <c r="H645" s="111">
        <v>0.25</v>
      </c>
      <c r="I645" s="22" t="s">
        <v>25</v>
      </c>
      <c r="J645" s="21" t="s">
        <v>1627</v>
      </c>
      <c r="K645" s="21" t="s">
        <v>1627</v>
      </c>
      <c r="L645" s="21" t="s">
        <v>1586</v>
      </c>
      <c r="M645" s="150"/>
      <c r="N645" s="23" t="s">
        <v>1628</v>
      </c>
      <c r="O645" s="23" t="s">
        <v>1109</v>
      </c>
      <c r="P645" s="23" t="s">
        <v>328</v>
      </c>
      <c r="Q645" s="88">
        <v>1</v>
      </c>
      <c r="R645" s="66">
        <v>45553</v>
      </c>
      <c r="S645" s="54">
        <v>45559</v>
      </c>
      <c r="T645" s="45" t="s">
        <v>19</v>
      </c>
      <c r="U645" s="100">
        <v>1</v>
      </c>
      <c r="V645" s="108">
        <v>0</v>
      </c>
      <c r="W645" s="22" t="s">
        <v>40</v>
      </c>
      <c r="X645" s="22" t="str">
        <f t="shared" si="52"/>
        <v>2AIWP0.25</v>
      </c>
      <c r="Y645" s="22" t="s">
        <v>32</v>
      </c>
      <c r="Z645" s="78"/>
    </row>
    <row r="646" spans="1:26" s="70" customFormat="1" ht="24.95" customHeight="1">
      <c r="A646" s="80"/>
      <c r="B646" s="147">
        <v>45536</v>
      </c>
      <c r="C646" s="151" t="s">
        <v>51</v>
      </c>
      <c r="D646" s="59" t="s">
        <v>20</v>
      </c>
      <c r="E646" s="14" t="str">
        <f t="shared" si="51"/>
        <v>H76</v>
      </c>
      <c r="F646" s="111" t="s">
        <v>482</v>
      </c>
      <c r="G646" s="3" t="s">
        <v>26</v>
      </c>
      <c r="H646" s="111">
        <v>0.16</v>
      </c>
      <c r="I646" s="22" t="s">
        <v>302</v>
      </c>
      <c r="J646" s="21" t="s">
        <v>274</v>
      </c>
      <c r="K646" s="21" t="s">
        <v>350</v>
      </c>
      <c r="L646" s="21" t="s">
        <v>1665</v>
      </c>
      <c r="M646" s="150"/>
      <c r="N646" s="23" t="s">
        <v>1666</v>
      </c>
      <c r="O646" s="23" t="s">
        <v>39</v>
      </c>
      <c r="P646" s="23" t="s">
        <v>1014</v>
      </c>
      <c r="Q646" s="88">
        <v>1</v>
      </c>
      <c r="R646" s="66">
        <v>45556</v>
      </c>
      <c r="S646" s="54">
        <v>45561</v>
      </c>
      <c r="T646" s="45" t="s">
        <v>19</v>
      </c>
      <c r="U646" s="100">
        <v>0</v>
      </c>
      <c r="V646" s="108">
        <v>1</v>
      </c>
      <c r="W646" s="22" t="s">
        <v>40</v>
      </c>
      <c r="X646" s="22" t="str">
        <f t="shared" ref="X646:X659" si="53">F646&amp;H646</f>
        <v>2AIW0.16</v>
      </c>
      <c r="Y646" s="22" t="s">
        <v>182</v>
      </c>
      <c r="Z646" s="78"/>
    </row>
    <row r="647" spans="1:26" s="70" customFormat="1" ht="24.95" customHeight="1">
      <c r="A647" s="80"/>
      <c r="B647" s="147">
        <v>45536</v>
      </c>
      <c r="C647" s="151" t="s">
        <v>51</v>
      </c>
      <c r="D647" s="59" t="s">
        <v>20</v>
      </c>
      <c r="E647" s="14" t="str">
        <f t="shared" si="51"/>
        <v>H5A</v>
      </c>
      <c r="F647" s="111" t="s">
        <v>301</v>
      </c>
      <c r="G647" s="3" t="s">
        <v>26</v>
      </c>
      <c r="H647" s="111">
        <v>0.19</v>
      </c>
      <c r="I647" s="22" t="s">
        <v>302</v>
      </c>
      <c r="J647" s="21" t="s">
        <v>162</v>
      </c>
      <c r="K647" s="21" t="s">
        <v>162</v>
      </c>
      <c r="L647" s="21" t="s">
        <v>1688</v>
      </c>
      <c r="M647" s="150"/>
      <c r="N647" s="23" t="s">
        <v>1689</v>
      </c>
      <c r="O647" s="23" t="s">
        <v>39</v>
      </c>
      <c r="P647" s="23" t="s">
        <v>328</v>
      </c>
      <c r="Q647" s="88">
        <v>1</v>
      </c>
      <c r="R647" s="66">
        <v>45541</v>
      </c>
      <c r="S647" s="54">
        <v>45565</v>
      </c>
      <c r="T647" s="45" t="s">
        <v>19</v>
      </c>
      <c r="U647" s="100">
        <v>0</v>
      </c>
      <c r="V647" s="108">
        <v>1</v>
      </c>
      <c r="W647" s="22" t="s">
        <v>40</v>
      </c>
      <c r="X647" s="22" t="str">
        <f t="shared" si="53"/>
        <v>2-AIW0.19</v>
      </c>
      <c r="Y647" s="22" t="s">
        <v>182</v>
      </c>
      <c r="Z647" s="78"/>
    </row>
    <row r="648" spans="1:26" s="70" customFormat="1" ht="24.95" customHeight="1">
      <c r="A648" s="80"/>
      <c r="B648" s="147">
        <v>45536</v>
      </c>
      <c r="C648" s="151" t="s">
        <v>51</v>
      </c>
      <c r="D648" s="59" t="s">
        <v>20</v>
      </c>
      <c r="E648" s="14" t="str">
        <f t="shared" si="51"/>
        <v>H1A</v>
      </c>
      <c r="F648" s="111" t="s">
        <v>52</v>
      </c>
      <c r="G648" s="3" t="s">
        <v>26</v>
      </c>
      <c r="H648" s="111">
        <v>0.26</v>
      </c>
      <c r="I648" s="22" t="s">
        <v>43</v>
      </c>
      <c r="J648" s="21" t="s">
        <v>274</v>
      </c>
      <c r="K648" s="21" t="s">
        <v>939</v>
      </c>
      <c r="L648" s="21" t="s">
        <v>1691</v>
      </c>
      <c r="M648" s="150"/>
      <c r="N648" s="23" t="s">
        <v>1690</v>
      </c>
      <c r="O648" s="23" t="s">
        <v>30</v>
      </c>
      <c r="P648" s="23" t="s">
        <v>328</v>
      </c>
      <c r="Q648" s="88">
        <v>1</v>
      </c>
      <c r="R648" s="66">
        <v>45563</v>
      </c>
      <c r="S648" s="54">
        <v>45565</v>
      </c>
      <c r="T648" s="45" t="s">
        <v>19</v>
      </c>
      <c r="U648" s="100">
        <v>1</v>
      </c>
      <c r="V648" s="108">
        <v>0</v>
      </c>
      <c r="W648" s="22" t="s">
        <v>40</v>
      </c>
      <c r="X648" s="22" t="str">
        <f t="shared" si="53"/>
        <v>D2IDW4-B-20.26</v>
      </c>
      <c r="Y648" s="22" t="s">
        <v>32</v>
      </c>
      <c r="Z648" s="78"/>
    </row>
    <row r="649" spans="1:26" s="70" customFormat="1" ht="24.95" customHeight="1">
      <c r="A649" s="80"/>
      <c r="B649" s="147">
        <v>45536</v>
      </c>
      <c r="C649" s="151" t="s">
        <v>51</v>
      </c>
      <c r="D649" s="59" t="s">
        <v>20</v>
      </c>
      <c r="E649" s="14" t="str">
        <f t="shared" si="51"/>
        <v>H1B</v>
      </c>
      <c r="F649" s="111" t="s">
        <v>52</v>
      </c>
      <c r="G649" s="3" t="s">
        <v>26</v>
      </c>
      <c r="H649" s="111">
        <v>0.25</v>
      </c>
      <c r="I649" s="22" t="s">
        <v>31</v>
      </c>
      <c r="J649" s="21" t="s">
        <v>274</v>
      </c>
      <c r="K649" s="21" t="s">
        <v>939</v>
      </c>
      <c r="L649" s="21" t="s">
        <v>1691</v>
      </c>
      <c r="M649" s="150"/>
      <c r="N649" s="23" t="s">
        <v>1692</v>
      </c>
      <c r="O649" s="23" t="s">
        <v>30</v>
      </c>
      <c r="P649" s="23" t="s">
        <v>250</v>
      </c>
      <c r="Q649" s="88">
        <v>1</v>
      </c>
      <c r="R649" s="66">
        <v>45563</v>
      </c>
      <c r="S649" s="54">
        <v>45565</v>
      </c>
      <c r="T649" s="45" t="s">
        <v>19</v>
      </c>
      <c r="U649" s="100">
        <v>1</v>
      </c>
      <c r="V649" s="108">
        <v>0</v>
      </c>
      <c r="W649" s="22" t="s">
        <v>40</v>
      </c>
      <c r="X649" s="22" t="str">
        <f t="shared" si="53"/>
        <v>D2IDW4-B-20.25</v>
      </c>
      <c r="Y649" s="22" t="s">
        <v>32</v>
      </c>
      <c r="Z649" s="78"/>
    </row>
    <row r="650" spans="1:26" s="70" customFormat="1" ht="24.95" customHeight="1">
      <c r="A650" s="80"/>
      <c r="B650" s="147">
        <v>45536</v>
      </c>
      <c r="C650" s="151" t="s">
        <v>51</v>
      </c>
      <c r="D650" s="59" t="s">
        <v>20</v>
      </c>
      <c r="E650" s="14" t="str">
        <f t="shared" si="51"/>
        <v>H2B</v>
      </c>
      <c r="F650" s="111" t="s">
        <v>435</v>
      </c>
      <c r="G650" s="3" t="s">
        <v>26</v>
      </c>
      <c r="H650" s="111">
        <v>0.27</v>
      </c>
      <c r="I650" s="22" t="s">
        <v>302</v>
      </c>
      <c r="J650" s="21" t="s">
        <v>274</v>
      </c>
      <c r="K650" s="21" t="s">
        <v>1585</v>
      </c>
      <c r="L650" s="21" t="s">
        <v>1693</v>
      </c>
      <c r="M650" s="150"/>
      <c r="N650" s="23" t="s">
        <v>1694</v>
      </c>
      <c r="O650" s="23" t="s">
        <v>30</v>
      </c>
      <c r="P650" s="23" t="s">
        <v>273</v>
      </c>
      <c r="Q650" s="88">
        <v>1</v>
      </c>
      <c r="R650" s="66">
        <v>45563</v>
      </c>
      <c r="S650" s="54">
        <v>45565</v>
      </c>
      <c r="T650" s="45" t="s">
        <v>19</v>
      </c>
      <c r="U650" s="100">
        <v>1</v>
      </c>
      <c r="V650" s="108">
        <v>0</v>
      </c>
      <c r="W650" s="22" t="s">
        <v>40</v>
      </c>
      <c r="X650" s="22" t="str">
        <f t="shared" si="53"/>
        <v>2DHWH0.27</v>
      </c>
      <c r="Y650" s="22" t="s">
        <v>32</v>
      </c>
      <c r="Z650" s="78"/>
    </row>
    <row r="651" spans="1:26" s="70" customFormat="1" ht="24.95" customHeight="1">
      <c r="A651" s="80"/>
      <c r="B651" s="147">
        <v>45566</v>
      </c>
      <c r="C651" s="152" t="s">
        <v>35</v>
      </c>
      <c r="D651" s="59" t="s">
        <v>20</v>
      </c>
      <c r="E651" s="14" t="str">
        <f t="shared" ref="E651:E659" si="54">IF(B567="","",LEFT(N651,3))</f>
        <v>V9A</v>
      </c>
      <c r="F651" s="111" t="s">
        <v>23</v>
      </c>
      <c r="G651" s="15" t="s">
        <v>27</v>
      </c>
      <c r="H651" s="111">
        <v>0.95</v>
      </c>
      <c r="I651" s="22" t="s">
        <v>25</v>
      </c>
      <c r="J651" s="21" t="s">
        <v>1701</v>
      </c>
      <c r="K651" s="21" t="s">
        <v>1702</v>
      </c>
      <c r="L651" s="21" t="s">
        <v>1703</v>
      </c>
      <c r="M651" s="150"/>
      <c r="N651" s="23" t="s">
        <v>1704</v>
      </c>
      <c r="O651" s="23" t="s">
        <v>39</v>
      </c>
      <c r="P651" s="23" t="s">
        <v>349</v>
      </c>
      <c r="Q651" s="88">
        <v>7</v>
      </c>
      <c r="R651" s="66">
        <v>45572</v>
      </c>
      <c r="S651" s="54">
        <v>45579</v>
      </c>
      <c r="T651" s="45" t="s">
        <v>19</v>
      </c>
      <c r="U651" s="100">
        <v>7</v>
      </c>
      <c r="V651" s="108">
        <v>0</v>
      </c>
      <c r="W651" s="22" t="s">
        <v>40</v>
      </c>
      <c r="X651" s="22" t="str">
        <f t="shared" si="53"/>
        <v>0FBWSHC0.95</v>
      </c>
      <c r="Y651" s="22" t="s">
        <v>32</v>
      </c>
      <c r="Z651" s="78"/>
    </row>
    <row r="652" spans="1:26" s="70" customFormat="1" ht="24.95" customHeight="1">
      <c r="A652" s="80"/>
      <c r="B652" s="147">
        <v>45566</v>
      </c>
      <c r="C652" s="152" t="s">
        <v>35</v>
      </c>
      <c r="D652" s="59" t="s">
        <v>20</v>
      </c>
      <c r="E652" s="14" t="str">
        <f t="shared" si="54"/>
        <v>V4A</v>
      </c>
      <c r="F652" s="111" t="s">
        <v>177</v>
      </c>
      <c r="G652" s="15" t="s">
        <v>27</v>
      </c>
      <c r="H652" s="111">
        <v>0.5</v>
      </c>
      <c r="I652" s="22" t="s">
        <v>178</v>
      </c>
      <c r="J652" s="21" t="s">
        <v>1705</v>
      </c>
      <c r="K652" s="21" t="s">
        <v>1705</v>
      </c>
      <c r="L652" s="21" t="s">
        <v>60</v>
      </c>
      <c r="M652" s="150"/>
      <c r="N652" s="23" t="s">
        <v>1706</v>
      </c>
      <c r="O652" s="23" t="s">
        <v>30</v>
      </c>
      <c r="P652" s="23" t="s">
        <v>54</v>
      </c>
      <c r="Q652" s="88">
        <v>10</v>
      </c>
      <c r="R652" s="66">
        <v>45568</v>
      </c>
      <c r="S652" s="54">
        <v>45579</v>
      </c>
      <c r="T652" s="45" t="s">
        <v>19</v>
      </c>
      <c r="U652" s="100">
        <v>10</v>
      </c>
      <c r="V652" s="108">
        <v>0</v>
      </c>
      <c r="W652" s="22" t="s">
        <v>40</v>
      </c>
      <c r="X652" s="22" t="str">
        <f t="shared" si="53"/>
        <v>D2DSW20.5</v>
      </c>
      <c r="Y652" s="22" t="s">
        <v>32</v>
      </c>
      <c r="Z652" s="78"/>
    </row>
    <row r="653" spans="1:26" s="70" customFormat="1" ht="24.95" customHeight="1">
      <c r="A653" s="80"/>
      <c r="B653" s="147">
        <v>45566</v>
      </c>
      <c r="C653" s="152" t="s">
        <v>35</v>
      </c>
      <c r="D653" s="59" t="s">
        <v>20</v>
      </c>
      <c r="E653" s="14" t="str">
        <f t="shared" si="54"/>
        <v>V9A</v>
      </c>
      <c r="F653" s="111" t="s">
        <v>23</v>
      </c>
      <c r="G653" s="15" t="s">
        <v>27</v>
      </c>
      <c r="H653" s="111">
        <v>0.95</v>
      </c>
      <c r="I653" s="22" t="s">
        <v>25</v>
      </c>
      <c r="J653" s="21" t="s">
        <v>1707</v>
      </c>
      <c r="K653" s="21" t="s">
        <v>1708</v>
      </c>
      <c r="L653" s="21" t="s">
        <v>1240</v>
      </c>
      <c r="M653" s="150"/>
      <c r="N653" s="23" t="s">
        <v>1709</v>
      </c>
      <c r="O653" s="23" t="s">
        <v>39</v>
      </c>
      <c r="P653" s="23" t="s">
        <v>349</v>
      </c>
      <c r="Q653" s="88">
        <v>7</v>
      </c>
      <c r="R653" s="66">
        <v>45570</v>
      </c>
      <c r="S653" s="54">
        <v>45579</v>
      </c>
      <c r="T653" s="45" t="s">
        <v>19</v>
      </c>
      <c r="U653" s="100">
        <v>7</v>
      </c>
      <c r="V653" s="108">
        <v>0</v>
      </c>
      <c r="W653" s="22" t="s">
        <v>40</v>
      </c>
      <c r="X653" s="22" t="str">
        <f t="shared" si="53"/>
        <v>0FBWSHC0.95</v>
      </c>
      <c r="Y653" s="22" t="s">
        <v>32</v>
      </c>
      <c r="Z653" s="78"/>
    </row>
    <row r="654" spans="1:26" s="70" customFormat="1" ht="24.95" customHeight="1">
      <c r="A654" s="80"/>
      <c r="B654" s="147">
        <v>45566</v>
      </c>
      <c r="C654" s="152" t="s">
        <v>35</v>
      </c>
      <c r="D654" s="59" t="s">
        <v>20</v>
      </c>
      <c r="E654" s="14" t="str">
        <f t="shared" si="54"/>
        <v>12A</v>
      </c>
      <c r="F654" s="111" t="s">
        <v>165</v>
      </c>
      <c r="G654" s="15" t="s">
        <v>27</v>
      </c>
      <c r="H654" s="111">
        <v>1.81</v>
      </c>
      <c r="I654" s="22" t="s">
        <v>329</v>
      </c>
      <c r="J654" s="21" t="s">
        <v>1710</v>
      </c>
      <c r="K654" s="21" t="s">
        <v>1711</v>
      </c>
      <c r="L654" s="21" t="s">
        <v>60</v>
      </c>
      <c r="M654" s="150"/>
      <c r="N654" s="23" t="s">
        <v>1712</v>
      </c>
      <c r="O654" s="23" t="s">
        <v>30</v>
      </c>
      <c r="P654" s="23" t="s">
        <v>38</v>
      </c>
      <c r="Q654" s="88">
        <v>5</v>
      </c>
      <c r="R654" s="66">
        <v>45571</v>
      </c>
      <c r="S654" s="54">
        <v>45579</v>
      </c>
      <c r="T654" s="45" t="s">
        <v>19</v>
      </c>
      <c r="U654" s="100">
        <v>5</v>
      </c>
      <c r="V654" s="108">
        <v>0</v>
      </c>
      <c r="W654" s="22" t="s">
        <v>40</v>
      </c>
      <c r="X654" s="22" t="str">
        <f t="shared" si="53"/>
        <v>2EIWAD-O1.81</v>
      </c>
      <c r="Y654" s="22" t="s">
        <v>32</v>
      </c>
      <c r="Z654" s="78"/>
    </row>
    <row r="655" spans="1:26" s="70" customFormat="1" ht="24.95" customHeight="1">
      <c r="A655" s="80"/>
      <c r="B655" s="147">
        <v>45566</v>
      </c>
      <c r="C655" s="152" t="s">
        <v>35</v>
      </c>
      <c r="D655" s="59" t="s">
        <v>20</v>
      </c>
      <c r="E655" s="14" t="str">
        <f t="shared" si="54"/>
        <v>11B</v>
      </c>
      <c r="F655" s="111" t="s">
        <v>24</v>
      </c>
      <c r="G655" s="15" t="s">
        <v>27</v>
      </c>
      <c r="H655" s="111">
        <v>0.77</v>
      </c>
      <c r="I655" s="22" t="s">
        <v>206</v>
      </c>
      <c r="J655" s="21" t="s">
        <v>562</v>
      </c>
      <c r="K655" s="21" t="s">
        <v>562</v>
      </c>
      <c r="L655" s="21" t="s">
        <v>1713</v>
      </c>
      <c r="M655" s="150"/>
      <c r="N655" s="23" t="s">
        <v>1714</v>
      </c>
      <c r="O655" s="23" t="s">
        <v>783</v>
      </c>
      <c r="P655" s="23" t="s">
        <v>328</v>
      </c>
      <c r="Q655" s="88">
        <v>3</v>
      </c>
      <c r="R655" s="66">
        <v>45566</v>
      </c>
      <c r="S655" s="54">
        <v>45574</v>
      </c>
      <c r="T655" s="45" t="s">
        <v>19</v>
      </c>
      <c r="U655" s="100">
        <v>3</v>
      </c>
      <c r="V655" s="108">
        <v>0</v>
      </c>
      <c r="W655" s="22" t="s">
        <v>40</v>
      </c>
      <c r="X655" s="22" t="str">
        <f t="shared" si="53"/>
        <v>2PEW0.77</v>
      </c>
      <c r="Y655" s="22" t="s">
        <v>32</v>
      </c>
      <c r="Z655" s="78"/>
    </row>
    <row r="656" spans="1:26" s="70" customFormat="1" ht="24.95" customHeight="1">
      <c r="A656" s="80"/>
      <c r="B656" s="147">
        <v>45566</v>
      </c>
      <c r="C656" s="152" t="s">
        <v>35</v>
      </c>
      <c r="D656" s="59" t="s">
        <v>20</v>
      </c>
      <c r="E656" s="14" t="str">
        <f t="shared" si="54"/>
        <v>11A</v>
      </c>
      <c r="F656" s="111" t="s">
        <v>24</v>
      </c>
      <c r="G656" s="15" t="s">
        <v>27</v>
      </c>
      <c r="H656" s="111">
        <v>0.82</v>
      </c>
      <c r="I656" s="22" t="s">
        <v>1397</v>
      </c>
      <c r="J656" s="21" t="s">
        <v>562</v>
      </c>
      <c r="K656" s="21" t="s">
        <v>562</v>
      </c>
      <c r="L656" s="21" t="s">
        <v>60</v>
      </c>
      <c r="M656" s="150"/>
      <c r="N656" s="23" t="s">
        <v>1715</v>
      </c>
      <c r="O656" s="23" t="s">
        <v>30</v>
      </c>
      <c r="P656" s="23" t="s">
        <v>812</v>
      </c>
      <c r="Q656" s="88">
        <v>1</v>
      </c>
      <c r="R656" s="66">
        <v>45571</v>
      </c>
      <c r="S656" s="54">
        <v>45576</v>
      </c>
      <c r="T656" s="45" t="s">
        <v>19</v>
      </c>
      <c r="U656" s="100">
        <v>1</v>
      </c>
      <c r="V656" s="108">
        <v>0</v>
      </c>
      <c r="W656" s="22" t="s">
        <v>40</v>
      </c>
      <c r="X656" s="22" t="str">
        <f t="shared" si="53"/>
        <v>2PEW0.82</v>
      </c>
      <c r="Y656" s="22" t="s">
        <v>32</v>
      </c>
      <c r="Z656" s="78"/>
    </row>
    <row r="657" spans="1:26" s="70" customFormat="1" ht="24.95" customHeight="1">
      <c r="A657" s="80"/>
      <c r="B657" s="147">
        <v>45566</v>
      </c>
      <c r="C657" s="152" t="s">
        <v>35</v>
      </c>
      <c r="D657" s="59" t="s">
        <v>20</v>
      </c>
      <c r="E657" s="14" t="str">
        <f t="shared" si="54"/>
        <v>11A</v>
      </c>
      <c r="F657" s="111" t="s">
        <v>24</v>
      </c>
      <c r="G657" s="15" t="s">
        <v>27</v>
      </c>
      <c r="H657" s="111">
        <v>0.85</v>
      </c>
      <c r="I657" s="22" t="s">
        <v>1397</v>
      </c>
      <c r="J657" s="21" t="s">
        <v>562</v>
      </c>
      <c r="K657" s="21" t="s">
        <v>562</v>
      </c>
      <c r="L657" s="21" t="s">
        <v>60</v>
      </c>
      <c r="M657" s="150"/>
      <c r="N657" s="23" t="s">
        <v>1716</v>
      </c>
      <c r="O657" s="23" t="s">
        <v>29</v>
      </c>
      <c r="P657" s="23" t="s">
        <v>273</v>
      </c>
      <c r="Q657" s="88">
        <v>1</v>
      </c>
      <c r="R657" s="66">
        <v>45566</v>
      </c>
      <c r="S657" s="54">
        <v>45576</v>
      </c>
      <c r="T657" s="45" t="s">
        <v>19</v>
      </c>
      <c r="U657" s="100">
        <v>1</v>
      </c>
      <c r="V657" s="108">
        <v>0</v>
      </c>
      <c r="W657" s="22" t="s">
        <v>40</v>
      </c>
      <c r="X657" s="22" t="str">
        <f t="shared" si="53"/>
        <v>2PEW0.85</v>
      </c>
      <c r="Y657" s="22" t="s">
        <v>32</v>
      </c>
      <c r="Z657" s="78"/>
    </row>
    <row r="658" spans="1:26" s="70" customFormat="1" ht="24.95" customHeight="1">
      <c r="A658" s="80"/>
      <c r="B658" s="147">
        <v>45566</v>
      </c>
      <c r="C658" s="152" t="s">
        <v>35</v>
      </c>
      <c r="D658" s="59" t="s">
        <v>20</v>
      </c>
      <c r="E658" s="14" t="str">
        <f t="shared" si="54"/>
        <v>V4A</v>
      </c>
      <c r="F658" s="111" t="s">
        <v>177</v>
      </c>
      <c r="G658" s="3" t="s">
        <v>26</v>
      </c>
      <c r="H658" s="111">
        <v>0.5</v>
      </c>
      <c r="I658" s="22" t="s">
        <v>178</v>
      </c>
      <c r="J658" s="21" t="s">
        <v>1717</v>
      </c>
      <c r="K658" s="21" t="s">
        <v>1717</v>
      </c>
      <c r="L658" s="21"/>
      <c r="M658" s="150"/>
      <c r="N658" s="23" t="s">
        <v>1718</v>
      </c>
      <c r="O658" s="23" t="s">
        <v>30</v>
      </c>
      <c r="P658" s="23" t="s">
        <v>812</v>
      </c>
      <c r="Q658" s="88">
        <v>1</v>
      </c>
      <c r="R658" s="66">
        <v>45571</v>
      </c>
      <c r="S658" s="54">
        <v>45576</v>
      </c>
      <c r="T658" s="128" t="s">
        <v>19</v>
      </c>
      <c r="U658" s="134">
        <v>1</v>
      </c>
      <c r="V658" s="108">
        <v>0</v>
      </c>
      <c r="W658" s="22" t="s">
        <v>40</v>
      </c>
      <c r="X658" s="22" t="str">
        <f t="shared" si="53"/>
        <v>D2DSW20.5</v>
      </c>
      <c r="Y658" s="22" t="s">
        <v>32</v>
      </c>
      <c r="Z658" s="78"/>
    </row>
    <row r="659" spans="1:26" s="70" customFormat="1" ht="24.95" customHeight="1">
      <c r="A659" s="80"/>
      <c r="B659" s="147">
        <v>45566</v>
      </c>
      <c r="C659" s="152" t="s">
        <v>35</v>
      </c>
      <c r="D659" s="59" t="s">
        <v>20</v>
      </c>
      <c r="E659" s="14" t="str">
        <f t="shared" si="54"/>
        <v>12A</v>
      </c>
      <c r="F659" s="111" t="s">
        <v>165</v>
      </c>
      <c r="G659" s="15" t="s">
        <v>27</v>
      </c>
      <c r="H659" s="111">
        <v>1.81</v>
      </c>
      <c r="I659" s="22" t="s">
        <v>329</v>
      </c>
      <c r="J659" s="21" t="s">
        <v>1719</v>
      </c>
      <c r="K659" s="21" t="s">
        <v>1719</v>
      </c>
      <c r="L659" s="21" t="s">
        <v>809</v>
      </c>
      <c r="M659" s="150"/>
      <c r="N659" s="23" t="s">
        <v>1712</v>
      </c>
      <c r="O659" s="23" t="s">
        <v>29</v>
      </c>
      <c r="P659" s="23" t="s">
        <v>812</v>
      </c>
      <c r="Q659" s="88">
        <v>1</v>
      </c>
      <c r="R659" s="66">
        <v>45572</v>
      </c>
      <c r="S659" s="54">
        <v>45576</v>
      </c>
      <c r="T659" s="45" t="s">
        <v>19</v>
      </c>
      <c r="U659" s="100">
        <v>1</v>
      </c>
      <c r="V659" s="108">
        <v>0</v>
      </c>
      <c r="W659" s="22" t="s">
        <v>40</v>
      </c>
      <c r="X659" s="22" t="str">
        <f t="shared" si="53"/>
        <v>2EIWAD-O1.81</v>
      </c>
      <c r="Y659" s="22" t="s">
        <v>32</v>
      </c>
      <c r="Z659" s="78"/>
    </row>
    <row r="660" spans="1:26" s="70" customFormat="1" ht="24.95" customHeight="1">
      <c r="A660" s="80"/>
      <c r="B660" s="147">
        <v>45566</v>
      </c>
      <c r="C660" s="152" t="s">
        <v>35</v>
      </c>
      <c r="D660" s="59" t="s">
        <v>20</v>
      </c>
      <c r="E660" s="14" t="str">
        <f t="shared" ref="E660" si="55">IF(B576="","",LEFT(N660,3))</f>
        <v>V9A</v>
      </c>
      <c r="F660" s="111" t="s">
        <v>23</v>
      </c>
      <c r="G660" s="15" t="s">
        <v>27</v>
      </c>
      <c r="H660" s="111">
        <v>0.95</v>
      </c>
      <c r="I660" s="22" t="s">
        <v>25</v>
      </c>
      <c r="J660" s="21" t="s">
        <v>1720</v>
      </c>
      <c r="K660" s="21" t="s">
        <v>1721</v>
      </c>
      <c r="L660" s="21" t="s">
        <v>1722</v>
      </c>
      <c r="M660" s="150"/>
      <c r="N660" s="23" t="s">
        <v>1723</v>
      </c>
      <c r="O660" s="23" t="s">
        <v>30</v>
      </c>
      <c r="P660" s="23" t="s">
        <v>349</v>
      </c>
      <c r="Q660" s="88">
        <v>7</v>
      </c>
      <c r="R660" s="54">
        <v>45574</v>
      </c>
      <c r="S660" s="54">
        <v>45581</v>
      </c>
      <c r="T660" s="45" t="s">
        <v>19</v>
      </c>
      <c r="U660" s="100">
        <v>7</v>
      </c>
      <c r="V660" s="108">
        <v>0</v>
      </c>
      <c r="W660" s="22" t="s">
        <v>40</v>
      </c>
      <c r="X660" s="22" t="str">
        <f t="shared" ref="X660" si="56">F660&amp;H660</f>
        <v>0FBWSHC0.95</v>
      </c>
      <c r="Y660" s="22" t="s">
        <v>32</v>
      </c>
      <c r="Z660" s="78"/>
    </row>
    <row r="661" spans="1:26" s="70" customFormat="1" ht="24.95" customHeight="1">
      <c r="A661" s="80"/>
      <c r="B661" s="147">
        <v>45566</v>
      </c>
      <c r="C661" s="152" t="s">
        <v>35</v>
      </c>
      <c r="D661" s="59" t="s">
        <v>20</v>
      </c>
      <c r="E661" s="14" t="str">
        <f t="shared" ref="E661" si="57">IF(B577="","",LEFT(N661,3))</f>
        <v>12A</v>
      </c>
      <c r="F661" s="111" t="s">
        <v>165</v>
      </c>
      <c r="G661" s="15" t="s">
        <v>27</v>
      </c>
      <c r="H661" s="111">
        <v>1.81</v>
      </c>
      <c r="I661" s="22" t="s">
        <v>329</v>
      </c>
      <c r="J661" s="21" t="s">
        <v>1724</v>
      </c>
      <c r="K661" s="21" t="s">
        <v>1725</v>
      </c>
      <c r="L661" s="21" t="s">
        <v>1726</v>
      </c>
      <c r="M661" s="150"/>
      <c r="N661" s="23" t="s">
        <v>1727</v>
      </c>
      <c r="O661" s="23" t="s">
        <v>30</v>
      </c>
      <c r="P661" s="23" t="s">
        <v>662</v>
      </c>
      <c r="Q661" s="88">
        <v>5</v>
      </c>
      <c r="R661" s="54">
        <v>45579</v>
      </c>
      <c r="S661" s="54">
        <v>45586</v>
      </c>
      <c r="T661" s="45" t="s">
        <v>19</v>
      </c>
      <c r="U661" s="100">
        <v>5</v>
      </c>
      <c r="V661" s="108">
        <v>0</v>
      </c>
      <c r="W661" s="22" t="s">
        <v>40</v>
      </c>
      <c r="X661" s="22" t="str">
        <f t="shared" ref="X661" si="58">F661&amp;H661</f>
        <v>2EIWAD-O1.81</v>
      </c>
      <c r="Y661" s="22" t="s">
        <v>32</v>
      </c>
      <c r="Z661" s="78"/>
    </row>
    <row r="662" spans="1:26" s="70" customFormat="1" ht="24.95" customHeight="1">
      <c r="A662" s="80"/>
      <c r="B662" s="147">
        <v>45566</v>
      </c>
      <c r="C662" s="152" t="s">
        <v>35</v>
      </c>
      <c r="D662" s="59" t="s">
        <v>20</v>
      </c>
      <c r="E662" s="14" t="str">
        <f>IF(B578="","",LEFT(N662,3))</f>
        <v>11A</v>
      </c>
      <c r="F662" s="111" t="s">
        <v>1728</v>
      </c>
      <c r="G662" s="3" t="s">
        <v>26</v>
      </c>
      <c r="H662" s="111">
        <v>0.87</v>
      </c>
      <c r="I662" s="22" t="s">
        <v>689</v>
      </c>
      <c r="J662" s="21" t="s">
        <v>203</v>
      </c>
      <c r="K662" s="21"/>
      <c r="L662" s="21"/>
      <c r="M662" s="150"/>
      <c r="N662" s="23" t="s">
        <v>1729</v>
      </c>
      <c r="O662" s="23" t="s">
        <v>29</v>
      </c>
      <c r="P662" s="23" t="s">
        <v>812</v>
      </c>
      <c r="Q662" s="88">
        <v>1</v>
      </c>
      <c r="R662" s="54">
        <v>45578</v>
      </c>
      <c r="S662" s="54">
        <v>45587</v>
      </c>
      <c r="T662" s="45" t="s">
        <v>19</v>
      </c>
      <c r="U662" s="100">
        <v>1</v>
      </c>
      <c r="V662" s="108">
        <v>0</v>
      </c>
      <c r="W662" s="22" t="s">
        <v>40</v>
      </c>
      <c r="X662" s="22" t="str">
        <f t="shared" ref="X662:X704" si="59">F662&amp;H662</f>
        <v>1-PEW0.87</v>
      </c>
      <c r="Y662" s="22" t="s">
        <v>32</v>
      </c>
      <c r="Z662" s="78"/>
    </row>
    <row r="663" spans="1:26" s="70" customFormat="1" ht="24.95" customHeight="1">
      <c r="A663" s="80"/>
      <c r="B663" s="147">
        <v>45566</v>
      </c>
      <c r="C663" s="152" t="s">
        <v>35</v>
      </c>
      <c r="D663" s="59" t="s">
        <v>20</v>
      </c>
      <c r="E663" s="14" t="str">
        <f>IF(B579="","",LEFT(N663,3))</f>
        <v>V6A</v>
      </c>
      <c r="F663" s="111" t="s">
        <v>186</v>
      </c>
      <c r="G663" s="15" t="s">
        <v>27</v>
      </c>
      <c r="H663" s="111">
        <v>1.18</v>
      </c>
      <c r="I663" s="22" t="s">
        <v>187</v>
      </c>
      <c r="J663" s="21" t="s">
        <v>951</v>
      </c>
      <c r="K663" s="21" t="s">
        <v>951</v>
      </c>
      <c r="L663" s="21" t="s">
        <v>60</v>
      </c>
      <c r="M663" s="150"/>
      <c r="N663" s="23" t="s">
        <v>1742</v>
      </c>
      <c r="O663" s="23" t="s">
        <v>30</v>
      </c>
      <c r="P663" s="23" t="s">
        <v>38</v>
      </c>
      <c r="Q663" s="88">
        <v>5</v>
      </c>
      <c r="R663" s="54">
        <v>45585</v>
      </c>
      <c r="S663" s="54">
        <v>45587</v>
      </c>
      <c r="T663" s="45" t="s">
        <v>19</v>
      </c>
      <c r="U663" s="100">
        <v>5</v>
      </c>
      <c r="V663" s="108">
        <v>0</v>
      </c>
      <c r="W663" s="22" t="s">
        <v>40</v>
      </c>
      <c r="X663" s="22" t="str">
        <f t="shared" ref="X663:X688" si="60">F663&amp;H663</f>
        <v>1HGZ-MA1.18</v>
      </c>
      <c r="Y663" s="22" t="s">
        <v>32</v>
      </c>
      <c r="Z663" s="78"/>
    </row>
    <row r="664" spans="1:26" s="70" customFormat="1" ht="24.95" customHeight="1">
      <c r="A664" s="80"/>
      <c r="B664" s="147">
        <v>45566</v>
      </c>
      <c r="C664" s="152" t="s">
        <v>35</v>
      </c>
      <c r="D664" s="59" t="s">
        <v>20</v>
      </c>
      <c r="E664" s="14" t="str">
        <f t="shared" ref="E664:E681" si="61">IF(B580="","",LEFT(N664,3))</f>
        <v>V8C</v>
      </c>
      <c r="F664" s="111" t="s">
        <v>24</v>
      </c>
      <c r="G664" s="3" t="s">
        <v>26</v>
      </c>
      <c r="H664" s="111">
        <v>0.8</v>
      </c>
      <c r="I664" s="22" t="s">
        <v>1397</v>
      </c>
      <c r="J664" s="21" t="s">
        <v>58</v>
      </c>
      <c r="K664" s="21"/>
      <c r="L664" s="21" t="s">
        <v>410</v>
      </c>
      <c r="M664" s="150"/>
      <c r="N664" s="23" t="s">
        <v>1743</v>
      </c>
      <c r="O664" s="23" t="s">
        <v>263</v>
      </c>
      <c r="P664" s="23" t="s">
        <v>542</v>
      </c>
      <c r="Q664" s="88">
        <v>3</v>
      </c>
      <c r="R664" s="54">
        <v>45589</v>
      </c>
      <c r="S664" s="54">
        <v>45594</v>
      </c>
      <c r="T664" s="45" t="s">
        <v>19</v>
      </c>
      <c r="U664" s="100">
        <v>3</v>
      </c>
      <c r="V664" s="108">
        <v>0</v>
      </c>
      <c r="W664" s="22" t="s">
        <v>40</v>
      </c>
      <c r="X664" s="22" t="str">
        <f t="shared" si="60"/>
        <v>2PEW0.8</v>
      </c>
      <c r="Y664" s="22" t="s">
        <v>32</v>
      </c>
      <c r="Z664" s="78"/>
    </row>
    <row r="665" spans="1:26" s="70" customFormat="1" ht="24.95" customHeight="1">
      <c r="A665" s="80"/>
      <c r="B665" s="147">
        <v>45566</v>
      </c>
      <c r="C665" s="152" t="s">
        <v>35</v>
      </c>
      <c r="D665" s="59" t="s">
        <v>20</v>
      </c>
      <c r="E665" s="14" t="str">
        <f t="shared" si="61"/>
        <v>V6A</v>
      </c>
      <c r="F665" s="111" t="s">
        <v>186</v>
      </c>
      <c r="G665" s="15" t="s">
        <v>27</v>
      </c>
      <c r="H665" s="111">
        <v>1.18</v>
      </c>
      <c r="I665" s="22" t="s">
        <v>187</v>
      </c>
      <c r="J665" s="21" t="s">
        <v>1460</v>
      </c>
      <c r="K665" s="21"/>
      <c r="L665" s="21"/>
      <c r="M665" s="150"/>
      <c r="N665" s="23" t="s">
        <v>1744</v>
      </c>
      <c r="O665" s="23" t="s">
        <v>30</v>
      </c>
      <c r="P665" s="23" t="s">
        <v>38</v>
      </c>
      <c r="Q665" s="88">
        <v>5</v>
      </c>
      <c r="R665" s="54">
        <v>45589</v>
      </c>
      <c r="S665" s="54">
        <v>45594</v>
      </c>
      <c r="T665" s="45" t="s">
        <v>19</v>
      </c>
      <c r="U665" s="100">
        <v>5</v>
      </c>
      <c r="V665" s="108">
        <v>0</v>
      </c>
      <c r="W665" s="22" t="s">
        <v>40</v>
      </c>
      <c r="X665" s="22" t="str">
        <f t="shared" si="60"/>
        <v>1HGZ-MA1.18</v>
      </c>
      <c r="Y665" s="22" t="s">
        <v>32</v>
      </c>
      <c r="Z665" s="78"/>
    </row>
    <row r="666" spans="1:26" s="70" customFormat="1" ht="24.95" customHeight="1">
      <c r="A666" s="80"/>
      <c r="B666" s="147">
        <v>45566</v>
      </c>
      <c r="C666" s="152" t="s">
        <v>35</v>
      </c>
      <c r="D666" s="59" t="s">
        <v>20</v>
      </c>
      <c r="E666" s="14" t="str">
        <f t="shared" si="61"/>
        <v>V9B</v>
      </c>
      <c r="F666" s="111" t="s">
        <v>23</v>
      </c>
      <c r="G666" s="15" t="s">
        <v>27</v>
      </c>
      <c r="H666" s="111">
        <v>1.2</v>
      </c>
      <c r="I666" s="22" t="s">
        <v>25</v>
      </c>
      <c r="J666" s="21" t="s">
        <v>1745</v>
      </c>
      <c r="K666" s="21" t="s">
        <v>1746</v>
      </c>
      <c r="L666" s="21" t="s">
        <v>1747</v>
      </c>
      <c r="M666" s="150"/>
      <c r="N666" s="23" t="s">
        <v>1748</v>
      </c>
      <c r="O666" s="23" t="s">
        <v>29</v>
      </c>
      <c r="P666" s="23" t="s">
        <v>256</v>
      </c>
      <c r="Q666" s="88">
        <v>1</v>
      </c>
      <c r="R666" s="54">
        <v>45587</v>
      </c>
      <c r="S666" s="54">
        <v>45594</v>
      </c>
      <c r="T666" s="45" t="s">
        <v>19</v>
      </c>
      <c r="U666" s="100">
        <v>1</v>
      </c>
      <c r="V666" s="108">
        <v>0</v>
      </c>
      <c r="W666" s="22" t="s">
        <v>40</v>
      </c>
      <c r="X666" s="22" t="str">
        <f t="shared" si="60"/>
        <v>0FBWSHC1.2</v>
      </c>
      <c r="Y666" s="22" t="s">
        <v>32</v>
      </c>
      <c r="Z666" s="78"/>
    </row>
    <row r="667" spans="1:26" s="70" customFormat="1" ht="24.95" customHeight="1">
      <c r="A667" s="80"/>
      <c r="B667" s="147">
        <v>45566</v>
      </c>
      <c r="C667" s="152" t="s">
        <v>35</v>
      </c>
      <c r="D667" s="59" t="s">
        <v>20</v>
      </c>
      <c r="E667" s="14" t="str">
        <f t="shared" si="61"/>
        <v>V8A</v>
      </c>
      <c r="F667" s="111" t="s">
        <v>529</v>
      </c>
      <c r="G667" s="3" t="s">
        <v>26</v>
      </c>
      <c r="H667" s="111">
        <v>1.5</v>
      </c>
      <c r="I667" s="22" t="s">
        <v>530</v>
      </c>
      <c r="J667" s="21" t="s">
        <v>44</v>
      </c>
      <c r="K667" s="21"/>
      <c r="L667" s="21" t="s">
        <v>46</v>
      </c>
      <c r="M667" s="150"/>
      <c r="N667" s="23" t="s">
        <v>1749</v>
      </c>
      <c r="O667" s="23" t="s">
        <v>1750</v>
      </c>
      <c r="P667" s="23" t="s">
        <v>1751</v>
      </c>
      <c r="Q667" s="88">
        <v>4</v>
      </c>
      <c r="R667" s="54">
        <v>45591</v>
      </c>
      <c r="S667" s="54">
        <v>45594</v>
      </c>
      <c r="T667" s="45" t="s">
        <v>19</v>
      </c>
      <c r="U667" s="100">
        <v>4</v>
      </c>
      <c r="V667" s="108">
        <v>0</v>
      </c>
      <c r="W667" s="22" t="s">
        <v>40</v>
      </c>
      <c r="X667" s="22" t="str">
        <f t="shared" si="60"/>
        <v>1PEW1.5</v>
      </c>
      <c r="Y667" s="22" t="s">
        <v>32</v>
      </c>
      <c r="Z667" s="78"/>
    </row>
    <row r="668" spans="1:26" s="70" customFormat="1" ht="24.95" customHeight="1">
      <c r="A668" s="80"/>
      <c r="B668" s="147">
        <v>45566</v>
      </c>
      <c r="C668" s="152" t="s">
        <v>35</v>
      </c>
      <c r="D668" s="59" t="s">
        <v>20</v>
      </c>
      <c r="E668" s="14" t="str">
        <f t="shared" si="61"/>
        <v>V8A</v>
      </c>
      <c r="F668" s="111" t="s">
        <v>529</v>
      </c>
      <c r="G668" s="3" t="s">
        <v>26</v>
      </c>
      <c r="H668" s="111">
        <v>1.5</v>
      </c>
      <c r="I668" s="22" t="s">
        <v>530</v>
      </c>
      <c r="J668" s="21" t="s">
        <v>412</v>
      </c>
      <c r="K668" s="21"/>
      <c r="L668" s="21" t="s">
        <v>403</v>
      </c>
      <c r="M668" s="150"/>
      <c r="N668" s="23" t="s">
        <v>1749</v>
      </c>
      <c r="O668" s="23" t="s">
        <v>1752</v>
      </c>
      <c r="P668" s="23" t="s">
        <v>328</v>
      </c>
      <c r="Q668" s="88">
        <v>2</v>
      </c>
      <c r="R668" s="54">
        <v>45592</v>
      </c>
      <c r="S668" s="54">
        <v>45594</v>
      </c>
      <c r="T668" s="45" t="s">
        <v>19</v>
      </c>
      <c r="U668" s="100">
        <v>2</v>
      </c>
      <c r="V668" s="108">
        <v>0</v>
      </c>
      <c r="W668" s="22" t="s">
        <v>40</v>
      </c>
      <c r="X668" s="22" t="str">
        <f t="shared" si="60"/>
        <v>1PEW1.5</v>
      </c>
      <c r="Y668" s="22" t="s">
        <v>32</v>
      </c>
      <c r="Z668" s="78"/>
    </row>
    <row r="669" spans="1:26" s="70" customFormat="1" ht="24.95" customHeight="1">
      <c r="A669" s="80"/>
      <c r="B669" s="147">
        <v>45566</v>
      </c>
      <c r="C669" s="152" t="s">
        <v>35</v>
      </c>
      <c r="D669" s="59" t="s">
        <v>20</v>
      </c>
      <c r="E669" s="14" t="str">
        <f t="shared" si="61"/>
        <v>V8A</v>
      </c>
      <c r="F669" s="111" t="s">
        <v>529</v>
      </c>
      <c r="G669" s="3" t="s">
        <v>26</v>
      </c>
      <c r="H669" s="111">
        <v>1.5</v>
      </c>
      <c r="I669" s="22" t="s">
        <v>530</v>
      </c>
      <c r="J669" s="21" t="s">
        <v>44</v>
      </c>
      <c r="K669" s="21"/>
      <c r="L669" s="21" t="s">
        <v>46</v>
      </c>
      <c r="M669" s="150"/>
      <c r="N669" s="23" t="s">
        <v>1753</v>
      </c>
      <c r="O669" s="23" t="s">
        <v>263</v>
      </c>
      <c r="P669" s="23" t="s">
        <v>328</v>
      </c>
      <c r="Q669" s="88">
        <v>1</v>
      </c>
      <c r="R669" s="54">
        <v>45589</v>
      </c>
      <c r="S669" s="54">
        <v>45590</v>
      </c>
      <c r="T669" s="45" t="s">
        <v>19</v>
      </c>
      <c r="U669" s="100">
        <v>1</v>
      </c>
      <c r="V669" s="108">
        <v>0</v>
      </c>
      <c r="W669" s="22" t="s">
        <v>40</v>
      </c>
      <c r="X669" s="22" t="str">
        <f t="shared" si="60"/>
        <v>1PEW1.5</v>
      </c>
      <c r="Y669" s="22" t="s">
        <v>32</v>
      </c>
      <c r="Z669" s="78"/>
    </row>
    <row r="670" spans="1:26" s="70" customFormat="1" ht="24.95" customHeight="1">
      <c r="A670" s="80"/>
      <c r="B670" s="147">
        <v>45566</v>
      </c>
      <c r="C670" s="152" t="s">
        <v>35</v>
      </c>
      <c r="D670" s="59" t="s">
        <v>20</v>
      </c>
      <c r="E670" s="14" t="str">
        <f t="shared" si="61"/>
        <v>V8D</v>
      </c>
      <c r="F670" s="111" t="s">
        <v>24</v>
      </c>
      <c r="G670" s="3" t="s">
        <v>26</v>
      </c>
      <c r="H670" s="111">
        <v>0.55000000000000004</v>
      </c>
      <c r="I670" s="22" t="s">
        <v>1397</v>
      </c>
      <c r="J670" s="21" t="s">
        <v>1754</v>
      </c>
      <c r="K670" s="21" t="s">
        <v>1755</v>
      </c>
      <c r="L670" s="21" t="s">
        <v>1756</v>
      </c>
      <c r="M670" s="150"/>
      <c r="N670" s="23" t="s">
        <v>1757</v>
      </c>
      <c r="O670" s="23" t="s">
        <v>30</v>
      </c>
      <c r="P670" s="23" t="s">
        <v>328</v>
      </c>
      <c r="Q670" s="88">
        <v>1</v>
      </c>
      <c r="R670" s="54">
        <v>45593</v>
      </c>
      <c r="S670" s="54">
        <v>45594</v>
      </c>
      <c r="T670" s="45" t="s">
        <v>19</v>
      </c>
      <c r="U670" s="100">
        <v>1</v>
      </c>
      <c r="V670" s="108">
        <v>0</v>
      </c>
      <c r="W670" s="22" t="s">
        <v>40</v>
      </c>
      <c r="X670" s="22" t="str">
        <f t="shared" si="60"/>
        <v>2PEW0.55</v>
      </c>
      <c r="Y670" s="22" t="s">
        <v>32</v>
      </c>
      <c r="Z670" s="78"/>
    </row>
    <row r="671" spans="1:26" s="70" customFormat="1" ht="24.95" customHeight="1">
      <c r="A671" s="80"/>
      <c r="B671" s="147">
        <v>45566</v>
      </c>
      <c r="C671" s="152" t="s">
        <v>35</v>
      </c>
      <c r="D671" s="59" t="s">
        <v>20</v>
      </c>
      <c r="E671" s="14" t="str">
        <f t="shared" si="61"/>
        <v>V8D</v>
      </c>
      <c r="F671" s="111" t="s">
        <v>24</v>
      </c>
      <c r="G671" s="3" t="s">
        <v>26</v>
      </c>
      <c r="H671" s="111">
        <v>0.55000000000000004</v>
      </c>
      <c r="I671" s="22" t="s">
        <v>1397</v>
      </c>
      <c r="J671" s="21" t="s">
        <v>1758</v>
      </c>
      <c r="K671" s="21"/>
      <c r="L671" s="21" t="s">
        <v>1759</v>
      </c>
      <c r="M671" s="150"/>
      <c r="N671" s="23" t="s">
        <v>1760</v>
      </c>
      <c r="O671" s="23" t="s">
        <v>176</v>
      </c>
      <c r="P671" s="23" t="s">
        <v>328</v>
      </c>
      <c r="Q671" s="88">
        <v>2</v>
      </c>
      <c r="R671" s="54">
        <v>45593</v>
      </c>
      <c r="S671" s="54">
        <v>45594</v>
      </c>
      <c r="T671" s="45" t="s">
        <v>19</v>
      </c>
      <c r="U671" s="100">
        <v>2</v>
      </c>
      <c r="V671" s="108">
        <v>0</v>
      </c>
      <c r="W671" s="22" t="s">
        <v>40</v>
      </c>
      <c r="X671" s="22" t="str">
        <f t="shared" si="60"/>
        <v>2PEW0.55</v>
      </c>
      <c r="Y671" s="22" t="s">
        <v>32</v>
      </c>
      <c r="Z671" s="78"/>
    </row>
    <row r="672" spans="1:26" s="70" customFormat="1" ht="24.95" customHeight="1">
      <c r="A672" s="80"/>
      <c r="B672" s="147">
        <v>45566</v>
      </c>
      <c r="C672" s="152" t="s">
        <v>35</v>
      </c>
      <c r="D672" s="59" t="s">
        <v>20</v>
      </c>
      <c r="E672" s="14" t="str">
        <f t="shared" si="61"/>
        <v>11B</v>
      </c>
      <c r="F672" s="111" t="s">
        <v>24</v>
      </c>
      <c r="G672" s="15" t="s">
        <v>27</v>
      </c>
      <c r="H672" s="111">
        <v>0.8</v>
      </c>
      <c r="I672" s="22" t="s">
        <v>1397</v>
      </c>
      <c r="J672" s="21" t="s">
        <v>1761</v>
      </c>
      <c r="K672" s="21" t="s">
        <v>1761</v>
      </c>
      <c r="L672" s="21" t="s">
        <v>1762</v>
      </c>
      <c r="M672" s="150"/>
      <c r="N672" s="23" t="s">
        <v>1763</v>
      </c>
      <c r="O672" s="23" t="s">
        <v>29</v>
      </c>
      <c r="P672" s="23" t="s">
        <v>250</v>
      </c>
      <c r="Q672" s="88">
        <v>1</v>
      </c>
      <c r="R672" s="54">
        <v>45578</v>
      </c>
      <c r="S672" s="54">
        <v>45581</v>
      </c>
      <c r="T672" s="45" t="s">
        <v>19</v>
      </c>
      <c r="U672" s="100">
        <v>1</v>
      </c>
      <c r="V672" s="108">
        <v>0</v>
      </c>
      <c r="W672" s="22" t="s">
        <v>40</v>
      </c>
      <c r="X672" s="22" t="str">
        <f t="shared" si="60"/>
        <v>2PEW0.8</v>
      </c>
      <c r="Y672" s="22" t="s">
        <v>32</v>
      </c>
      <c r="Z672" s="78"/>
    </row>
    <row r="673" spans="1:34" s="70" customFormat="1" ht="24.95" customHeight="1">
      <c r="A673" s="80"/>
      <c r="B673" s="147">
        <v>45566</v>
      </c>
      <c r="C673" s="152" t="s">
        <v>35</v>
      </c>
      <c r="D673" s="59" t="s">
        <v>20</v>
      </c>
      <c r="E673" s="14" t="str">
        <f t="shared" si="61"/>
        <v>11B</v>
      </c>
      <c r="F673" s="111" t="s">
        <v>24</v>
      </c>
      <c r="G673" s="15" t="s">
        <v>27</v>
      </c>
      <c r="H673" s="111">
        <v>0.8</v>
      </c>
      <c r="I673" s="22" t="s">
        <v>1397</v>
      </c>
      <c r="J673" s="21" t="s">
        <v>1761</v>
      </c>
      <c r="K673" s="21" t="s">
        <v>1761</v>
      </c>
      <c r="L673" s="21" t="s">
        <v>1762</v>
      </c>
      <c r="M673" s="150"/>
      <c r="N673" s="23" t="s">
        <v>1764</v>
      </c>
      <c r="O673" s="23" t="s">
        <v>195</v>
      </c>
      <c r="P673" s="23" t="s">
        <v>328</v>
      </c>
      <c r="Q673" s="88">
        <v>1</v>
      </c>
      <c r="R673" s="54">
        <v>45578</v>
      </c>
      <c r="S673" s="54">
        <v>45581</v>
      </c>
      <c r="T673" s="45" t="s">
        <v>19</v>
      </c>
      <c r="U673" s="100">
        <v>1</v>
      </c>
      <c r="V673" s="108">
        <v>0</v>
      </c>
      <c r="W673" s="22" t="s">
        <v>40</v>
      </c>
      <c r="X673" s="22" t="str">
        <f t="shared" si="60"/>
        <v>2PEW0.8</v>
      </c>
      <c r="Y673" s="22" t="s">
        <v>32</v>
      </c>
      <c r="Z673" s="78"/>
    </row>
    <row r="674" spans="1:34" s="70" customFormat="1" ht="24.95" customHeight="1">
      <c r="A674" s="80"/>
      <c r="B674" s="147">
        <v>45566</v>
      </c>
      <c r="C674" s="152" t="s">
        <v>35</v>
      </c>
      <c r="D674" s="59" t="s">
        <v>20</v>
      </c>
      <c r="E674" s="14" t="str">
        <f t="shared" si="61"/>
        <v>11A</v>
      </c>
      <c r="F674" s="111" t="s">
        <v>151</v>
      </c>
      <c r="G674" s="15" t="s">
        <v>27</v>
      </c>
      <c r="H674" s="111">
        <v>0.85</v>
      </c>
      <c r="I674" s="22" t="s">
        <v>31</v>
      </c>
      <c r="J674" s="21" t="s">
        <v>47</v>
      </c>
      <c r="K674" s="21" t="s">
        <v>47</v>
      </c>
      <c r="L674" s="21" t="s">
        <v>1765</v>
      </c>
      <c r="M674" s="150"/>
      <c r="N674" s="23" t="s">
        <v>1766</v>
      </c>
      <c r="O674" s="23" t="s">
        <v>263</v>
      </c>
      <c r="P674" s="23" t="s">
        <v>250</v>
      </c>
      <c r="Q674" s="88">
        <v>1</v>
      </c>
      <c r="R674" s="54">
        <v>45594</v>
      </c>
      <c r="S674" s="54">
        <v>45595</v>
      </c>
      <c r="T674" s="45" t="s">
        <v>19</v>
      </c>
      <c r="U674" s="100">
        <v>1</v>
      </c>
      <c r="V674" s="108">
        <v>0</v>
      </c>
      <c r="W674" s="22" t="s">
        <v>40</v>
      </c>
      <c r="X674" s="22" t="str">
        <f t="shared" si="60"/>
        <v>D1PEW-B-2Y0.85</v>
      </c>
      <c r="Y674" s="22" t="s">
        <v>32</v>
      </c>
      <c r="Z674" s="78"/>
    </row>
    <row r="675" spans="1:34" s="70" customFormat="1" ht="24.95" customHeight="1">
      <c r="A675" s="80"/>
      <c r="B675" s="147">
        <v>45566</v>
      </c>
      <c r="C675" s="152" t="s">
        <v>35</v>
      </c>
      <c r="D675" s="59" t="s">
        <v>20</v>
      </c>
      <c r="E675" s="14" t="str">
        <f t="shared" si="61"/>
        <v>V6A</v>
      </c>
      <c r="F675" s="111" t="s">
        <v>186</v>
      </c>
      <c r="G675" s="15" t="s">
        <v>27</v>
      </c>
      <c r="H675" s="111">
        <v>1.18</v>
      </c>
      <c r="I675" s="22" t="s">
        <v>187</v>
      </c>
      <c r="J675" s="21" t="s">
        <v>270</v>
      </c>
      <c r="K675" s="21" t="s">
        <v>270</v>
      </c>
      <c r="L675" s="21" t="s">
        <v>60</v>
      </c>
      <c r="M675" s="150"/>
      <c r="N675" s="23" t="s">
        <v>1767</v>
      </c>
      <c r="O675" s="23" t="s">
        <v>39</v>
      </c>
      <c r="P675" s="23" t="s">
        <v>328</v>
      </c>
      <c r="Q675" s="88">
        <v>1</v>
      </c>
      <c r="R675" s="54">
        <v>45581</v>
      </c>
      <c r="S675" s="54">
        <v>45595</v>
      </c>
      <c r="T675" s="45" t="s">
        <v>19</v>
      </c>
      <c r="U675" s="100">
        <v>1</v>
      </c>
      <c r="V675" s="108">
        <v>0</v>
      </c>
      <c r="W675" s="22" t="s">
        <v>40</v>
      </c>
      <c r="X675" s="22" t="str">
        <f t="shared" si="60"/>
        <v>1HGZ-MA1.18</v>
      </c>
      <c r="Y675" s="22" t="s">
        <v>32</v>
      </c>
      <c r="Z675" s="78"/>
    </row>
    <row r="676" spans="1:34" s="70" customFormat="1" ht="24.95" customHeight="1">
      <c r="A676" s="80"/>
      <c r="B676" s="147">
        <v>45566</v>
      </c>
      <c r="C676" s="152" t="s">
        <v>35</v>
      </c>
      <c r="D676" s="59" t="s">
        <v>20</v>
      </c>
      <c r="E676" s="14" t="str">
        <f t="shared" si="61"/>
        <v>12B</v>
      </c>
      <c r="F676" s="111" t="s">
        <v>719</v>
      </c>
      <c r="G676" s="15" t="s">
        <v>27</v>
      </c>
      <c r="H676" s="111">
        <v>1.1499999999999999</v>
      </c>
      <c r="I676" s="22" t="s">
        <v>252</v>
      </c>
      <c r="J676" s="21" t="s">
        <v>1768</v>
      </c>
      <c r="K676" s="21" t="s">
        <v>1768</v>
      </c>
      <c r="L676" s="21" t="s">
        <v>1769</v>
      </c>
      <c r="M676" s="150"/>
      <c r="N676" s="23" t="s">
        <v>1770</v>
      </c>
      <c r="O676" s="23" t="s">
        <v>30</v>
      </c>
      <c r="P676" s="23" t="s">
        <v>273</v>
      </c>
      <c r="Q676" s="88">
        <v>1</v>
      </c>
      <c r="R676" s="54">
        <v>45575</v>
      </c>
      <c r="S676" s="54">
        <v>45595</v>
      </c>
      <c r="T676" s="45" t="s">
        <v>19</v>
      </c>
      <c r="U676" s="100">
        <v>1</v>
      </c>
      <c r="V676" s="108">
        <v>0</v>
      </c>
      <c r="W676" s="22" t="s">
        <v>40</v>
      </c>
      <c r="X676" s="22" t="str">
        <f t="shared" si="60"/>
        <v>D1-IDW-41.15</v>
      </c>
      <c r="Y676" s="22" t="s">
        <v>32</v>
      </c>
      <c r="Z676" s="78"/>
    </row>
    <row r="677" spans="1:34" s="70" customFormat="1" ht="24.95" customHeight="1">
      <c r="A677" s="80"/>
      <c r="B677" s="147">
        <v>45566</v>
      </c>
      <c r="C677" s="152" t="s">
        <v>35</v>
      </c>
      <c r="D677" s="59" t="s">
        <v>20</v>
      </c>
      <c r="E677" s="14" t="str">
        <f t="shared" si="61"/>
        <v>11A</v>
      </c>
      <c r="F677" s="111" t="s">
        <v>251</v>
      </c>
      <c r="G677" s="15" t="s">
        <v>27</v>
      </c>
      <c r="H677" s="111">
        <v>0.83</v>
      </c>
      <c r="I677" s="22" t="s">
        <v>252</v>
      </c>
      <c r="J677" s="21" t="s">
        <v>47</v>
      </c>
      <c r="K677" s="21" t="s">
        <v>831</v>
      </c>
      <c r="L677" s="21" t="s">
        <v>809</v>
      </c>
      <c r="M677" s="150"/>
      <c r="N677" s="23" t="s">
        <v>1771</v>
      </c>
      <c r="O677" s="23" t="s">
        <v>29</v>
      </c>
      <c r="P677" s="23" t="s">
        <v>812</v>
      </c>
      <c r="Q677" s="88">
        <v>1</v>
      </c>
      <c r="R677" s="54">
        <v>45587</v>
      </c>
      <c r="S677" s="54">
        <v>45595</v>
      </c>
      <c r="T677" s="45" t="s">
        <v>19</v>
      </c>
      <c r="U677" s="100">
        <v>1</v>
      </c>
      <c r="V677" s="108">
        <v>0</v>
      </c>
      <c r="W677" s="22" t="s">
        <v>40</v>
      </c>
      <c r="X677" s="22" t="str">
        <f t="shared" si="60"/>
        <v>D2-IDW-4E0.83</v>
      </c>
      <c r="Y677" s="22" t="s">
        <v>32</v>
      </c>
      <c r="Z677" s="78"/>
    </row>
    <row r="678" spans="1:34" s="70" customFormat="1" ht="24.95" customHeight="1">
      <c r="A678" s="80"/>
      <c r="B678" s="147">
        <v>45566</v>
      </c>
      <c r="C678" s="152" t="s">
        <v>35</v>
      </c>
      <c r="D678" s="59" t="s">
        <v>20</v>
      </c>
      <c r="E678" s="14" t="str">
        <f t="shared" si="61"/>
        <v>11A</v>
      </c>
      <c r="F678" s="111" t="s">
        <v>251</v>
      </c>
      <c r="G678" s="15" t="s">
        <v>27</v>
      </c>
      <c r="H678" s="111">
        <v>0.83</v>
      </c>
      <c r="I678" s="22" t="s">
        <v>252</v>
      </c>
      <c r="J678" s="21" t="s">
        <v>47</v>
      </c>
      <c r="K678" s="21" t="s">
        <v>47</v>
      </c>
      <c r="L678" s="21" t="s">
        <v>60</v>
      </c>
      <c r="M678" s="150"/>
      <c r="N678" s="23" t="s">
        <v>1772</v>
      </c>
      <c r="O678" s="23" t="s">
        <v>1262</v>
      </c>
      <c r="P678" s="23" t="s">
        <v>256</v>
      </c>
      <c r="Q678" s="88">
        <v>1</v>
      </c>
      <c r="R678" s="54">
        <v>45590</v>
      </c>
      <c r="S678" s="54">
        <v>45595</v>
      </c>
      <c r="T678" s="45" t="s">
        <v>19</v>
      </c>
      <c r="U678" s="100">
        <v>1</v>
      </c>
      <c r="V678" s="108">
        <v>0</v>
      </c>
      <c r="W678" s="22" t="s">
        <v>40</v>
      </c>
      <c r="X678" s="22" t="str">
        <f t="shared" si="60"/>
        <v>D2-IDW-4E0.83</v>
      </c>
      <c r="Y678" s="22" t="s">
        <v>32</v>
      </c>
      <c r="Z678" s="78"/>
    </row>
    <row r="679" spans="1:34" s="70" customFormat="1" ht="24.95" customHeight="1">
      <c r="A679" s="80"/>
      <c r="B679" s="147">
        <v>45566</v>
      </c>
      <c r="C679" s="152" t="s">
        <v>35</v>
      </c>
      <c r="D679" s="59" t="s">
        <v>20</v>
      </c>
      <c r="E679" s="14" t="str">
        <f t="shared" si="61"/>
        <v>11A</v>
      </c>
      <c r="F679" s="111" t="s">
        <v>251</v>
      </c>
      <c r="G679" s="15" t="s">
        <v>27</v>
      </c>
      <c r="H679" s="111">
        <v>0.83</v>
      </c>
      <c r="I679" s="22" t="s">
        <v>252</v>
      </c>
      <c r="J679" s="21" t="s">
        <v>47</v>
      </c>
      <c r="K679" s="21" t="s">
        <v>47</v>
      </c>
      <c r="L679" s="21" t="s">
        <v>60</v>
      </c>
      <c r="M679" s="150"/>
      <c r="N679" s="23" t="s">
        <v>1772</v>
      </c>
      <c r="O679" s="23" t="s">
        <v>39</v>
      </c>
      <c r="P679" s="23" t="s">
        <v>256</v>
      </c>
      <c r="Q679" s="88">
        <v>1</v>
      </c>
      <c r="R679" s="54">
        <v>45590</v>
      </c>
      <c r="S679" s="54">
        <v>45595</v>
      </c>
      <c r="T679" s="45" t="s">
        <v>19</v>
      </c>
      <c r="U679" s="100">
        <v>1</v>
      </c>
      <c r="V679" s="108">
        <v>0</v>
      </c>
      <c r="W679" s="22" t="s">
        <v>40</v>
      </c>
      <c r="X679" s="22" t="str">
        <f t="shared" si="60"/>
        <v>D2-IDW-4E0.83</v>
      </c>
      <c r="Y679" s="22" t="s">
        <v>32</v>
      </c>
      <c r="Z679" s="78"/>
    </row>
    <row r="680" spans="1:34" s="70" customFormat="1" ht="24.95" customHeight="1">
      <c r="A680" s="80"/>
      <c r="B680" s="147">
        <v>45566</v>
      </c>
      <c r="C680" s="152" t="s">
        <v>35</v>
      </c>
      <c r="D680" s="59" t="s">
        <v>20</v>
      </c>
      <c r="E680" s="14" t="str">
        <f t="shared" si="61"/>
        <v>11A</v>
      </c>
      <c r="F680" s="111" t="s">
        <v>251</v>
      </c>
      <c r="G680" s="15" t="s">
        <v>27</v>
      </c>
      <c r="H680" s="111">
        <v>0.83</v>
      </c>
      <c r="I680" s="22" t="s">
        <v>252</v>
      </c>
      <c r="J680" s="21" t="s">
        <v>47</v>
      </c>
      <c r="K680" s="21" t="s">
        <v>831</v>
      </c>
      <c r="L680" s="21" t="s">
        <v>1773</v>
      </c>
      <c r="M680" s="150"/>
      <c r="N680" s="23" t="s">
        <v>1774</v>
      </c>
      <c r="O680" s="23" t="s">
        <v>29</v>
      </c>
      <c r="P680" s="23" t="s">
        <v>1417</v>
      </c>
      <c r="Q680" s="88">
        <v>2</v>
      </c>
      <c r="R680" s="54">
        <v>45588</v>
      </c>
      <c r="S680" s="54">
        <v>45595</v>
      </c>
      <c r="T680" s="45" t="s">
        <v>19</v>
      </c>
      <c r="U680" s="100">
        <v>2</v>
      </c>
      <c r="V680" s="108">
        <v>0</v>
      </c>
      <c r="W680" s="22" t="s">
        <v>40</v>
      </c>
      <c r="X680" s="22" t="str">
        <f t="shared" si="60"/>
        <v>D2-IDW-4E0.83</v>
      </c>
      <c r="Y680" s="22" t="s">
        <v>32</v>
      </c>
      <c r="Z680" s="78"/>
      <c r="AH680" s="70" t="s">
        <v>1775</v>
      </c>
    </row>
    <row r="681" spans="1:34" s="70" customFormat="1" ht="24.95" customHeight="1">
      <c r="A681" s="80"/>
      <c r="B681" s="147">
        <v>45566</v>
      </c>
      <c r="C681" s="152" t="s">
        <v>35</v>
      </c>
      <c r="D681" s="59" t="s">
        <v>20</v>
      </c>
      <c r="E681" s="14" t="str">
        <f t="shared" si="61"/>
        <v>11A</v>
      </c>
      <c r="F681" s="111" t="s">
        <v>24</v>
      </c>
      <c r="G681" s="15" t="s">
        <v>27</v>
      </c>
      <c r="H681" s="111">
        <v>0.82</v>
      </c>
      <c r="I681" s="22" t="s">
        <v>1397</v>
      </c>
      <c r="J681" s="21" t="s">
        <v>1776</v>
      </c>
      <c r="K681" s="21" t="s">
        <v>1777</v>
      </c>
      <c r="L681" s="21" t="s">
        <v>1778</v>
      </c>
      <c r="M681" s="150"/>
      <c r="N681" s="23" t="s">
        <v>1779</v>
      </c>
      <c r="O681" s="23" t="s">
        <v>195</v>
      </c>
      <c r="P681" s="23" t="s">
        <v>812</v>
      </c>
      <c r="Q681" s="88">
        <v>1</v>
      </c>
      <c r="R681" s="54">
        <v>45573</v>
      </c>
      <c r="S681" s="54">
        <v>45595</v>
      </c>
      <c r="T681" s="45" t="s">
        <v>19</v>
      </c>
      <c r="U681" s="100">
        <v>0</v>
      </c>
      <c r="V681" s="108">
        <v>1</v>
      </c>
      <c r="W681" s="22" t="s">
        <v>40</v>
      </c>
      <c r="X681" s="22" t="str">
        <f t="shared" si="60"/>
        <v>2PEW0.82</v>
      </c>
      <c r="Y681" s="22" t="s">
        <v>182</v>
      </c>
      <c r="Z681" s="78"/>
    </row>
    <row r="682" spans="1:34" s="70" customFormat="1" ht="24.95" customHeight="1">
      <c r="A682" s="80"/>
      <c r="B682" s="147">
        <v>45566</v>
      </c>
      <c r="C682" s="152" t="s">
        <v>35</v>
      </c>
      <c r="D682" s="59" t="s">
        <v>20</v>
      </c>
      <c r="E682" s="14" t="str">
        <f>IF(B598="","",LEFT(N682,3))</f>
        <v>V8D</v>
      </c>
      <c r="F682" s="111" t="s">
        <v>24</v>
      </c>
      <c r="G682" s="15" t="s">
        <v>27</v>
      </c>
      <c r="H682" s="111">
        <v>0.55000000000000004</v>
      </c>
      <c r="I682" s="22" t="s">
        <v>1397</v>
      </c>
      <c r="J682" s="21" t="s">
        <v>1780</v>
      </c>
      <c r="K682" s="21"/>
      <c r="L682" s="21" t="s">
        <v>1781</v>
      </c>
      <c r="M682" s="150"/>
      <c r="N682" s="23" t="s">
        <v>1760</v>
      </c>
      <c r="O682" s="23" t="s">
        <v>176</v>
      </c>
      <c r="P682" s="23" t="s">
        <v>273</v>
      </c>
      <c r="Q682" s="88">
        <v>2</v>
      </c>
      <c r="R682" s="54">
        <v>45593</v>
      </c>
      <c r="S682" s="54">
        <v>45594</v>
      </c>
      <c r="T682" s="45" t="s">
        <v>19</v>
      </c>
      <c r="U682" s="100">
        <v>0</v>
      </c>
      <c r="V682" s="108">
        <v>2</v>
      </c>
      <c r="W682" s="22" t="s">
        <v>40</v>
      </c>
      <c r="X682" s="22" t="str">
        <f t="shared" si="60"/>
        <v>2PEW0.55</v>
      </c>
      <c r="Y682" s="22" t="s">
        <v>32</v>
      </c>
      <c r="Z682" s="78"/>
    </row>
    <row r="683" spans="1:34" s="70" customFormat="1" ht="24.95" customHeight="1">
      <c r="A683" s="80"/>
      <c r="B683" s="147">
        <v>45566</v>
      </c>
      <c r="C683" s="152" t="s">
        <v>35</v>
      </c>
      <c r="D683" s="59" t="s">
        <v>20</v>
      </c>
      <c r="E683" s="14" t="str">
        <f>IF(B599="","",LEFT(N683,3))</f>
        <v>V6B</v>
      </c>
      <c r="F683" s="111" t="s">
        <v>165</v>
      </c>
      <c r="G683" s="15" t="s">
        <v>27</v>
      </c>
      <c r="H683" s="111">
        <v>1.65</v>
      </c>
      <c r="I683" s="22" t="s">
        <v>321</v>
      </c>
      <c r="J683" s="21" t="s">
        <v>1782</v>
      </c>
      <c r="K683" s="21" t="s">
        <v>1783</v>
      </c>
      <c r="L683" s="21" t="s">
        <v>355</v>
      </c>
      <c r="M683" s="150"/>
      <c r="N683" s="23" t="s">
        <v>1784</v>
      </c>
      <c r="O683" s="23" t="s">
        <v>30</v>
      </c>
      <c r="P683" s="23" t="s">
        <v>273</v>
      </c>
      <c r="Q683" s="88">
        <v>1</v>
      </c>
      <c r="R683" s="54">
        <v>45583</v>
      </c>
      <c r="S683" s="54">
        <v>45603</v>
      </c>
      <c r="T683" s="45" t="s">
        <v>19</v>
      </c>
      <c r="U683" s="100">
        <v>1</v>
      </c>
      <c r="V683" s="108">
        <v>0</v>
      </c>
      <c r="W683" s="22" t="s">
        <v>40</v>
      </c>
      <c r="X683" s="22" t="str">
        <f t="shared" si="60"/>
        <v>2EIWAD-O1.65</v>
      </c>
      <c r="Y683" s="22" t="s">
        <v>32</v>
      </c>
      <c r="Z683" s="78"/>
    </row>
    <row r="684" spans="1:34" s="70" customFormat="1" ht="24.95" customHeight="1">
      <c r="A684" s="80"/>
      <c r="B684" s="147">
        <v>45566</v>
      </c>
      <c r="C684" s="152" t="s">
        <v>35</v>
      </c>
      <c r="D684" s="59" t="s">
        <v>20</v>
      </c>
      <c r="E684" s="14" t="str">
        <f>IF(B600="","",LEFT(N684,3))</f>
        <v>VOA</v>
      </c>
      <c r="F684" s="111" t="s">
        <v>259</v>
      </c>
      <c r="G684" s="15" t="s">
        <v>27</v>
      </c>
      <c r="H684" s="111">
        <v>0.5</v>
      </c>
      <c r="I684" s="22" t="s">
        <v>31</v>
      </c>
      <c r="J684" s="21" t="s">
        <v>1785</v>
      </c>
      <c r="K684" s="21" t="s">
        <v>1785</v>
      </c>
      <c r="L684" s="21"/>
      <c r="M684" s="150"/>
      <c r="N684" s="23" t="s">
        <v>1786</v>
      </c>
      <c r="O684" s="23" t="s">
        <v>30</v>
      </c>
      <c r="P684" s="23" t="s">
        <v>1787</v>
      </c>
      <c r="Q684" s="88">
        <v>2</v>
      </c>
      <c r="R684" s="54">
        <v>45602</v>
      </c>
      <c r="S684" s="54">
        <v>45602</v>
      </c>
      <c r="T684" s="45" t="s">
        <v>19</v>
      </c>
      <c r="U684" s="100">
        <v>2</v>
      </c>
      <c r="V684" s="108">
        <v>0</v>
      </c>
      <c r="W684" s="22" t="s">
        <v>40</v>
      </c>
      <c r="X684" s="22" t="str">
        <f t="shared" si="60"/>
        <v>D1-PEW-B-2T0.5</v>
      </c>
      <c r="Y684" s="22" t="s">
        <v>32</v>
      </c>
      <c r="Z684" s="78"/>
    </row>
    <row r="685" spans="1:34" s="70" customFormat="1" ht="24.95" customHeight="1">
      <c r="A685" s="80"/>
      <c r="B685" s="147">
        <v>45566</v>
      </c>
      <c r="C685" s="152" t="s">
        <v>35</v>
      </c>
      <c r="D685" s="59" t="s">
        <v>20</v>
      </c>
      <c r="E685" s="14" t="str">
        <f t="shared" ref="E685:E688" si="62">IF(B601="","",LEFT(N685,3))</f>
        <v>V8C</v>
      </c>
      <c r="F685" s="111" t="s">
        <v>24</v>
      </c>
      <c r="G685" s="15" t="s">
        <v>27</v>
      </c>
      <c r="H685" s="111">
        <v>0.8</v>
      </c>
      <c r="I685" s="22" t="s">
        <v>1397</v>
      </c>
      <c r="J685" s="21" t="s">
        <v>1809</v>
      </c>
      <c r="K685" s="21" t="s">
        <v>1810</v>
      </c>
      <c r="L685" s="21" t="s">
        <v>1811</v>
      </c>
      <c r="M685" s="150"/>
      <c r="N685" s="23" t="s">
        <v>1812</v>
      </c>
      <c r="O685" s="23" t="s">
        <v>263</v>
      </c>
      <c r="P685" s="23" t="s">
        <v>1297</v>
      </c>
      <c r="Q685" s="88">
        <v>2</v>
      </c>
      <c r="R685" s="54">
        <v>45588</v>
      </c>
      <c r="S685" s="54">
        <v>45596</v>
      </c>
      <c r="T685" s="45" t="s">
        <v>19</v>
      </c>
      <c r="U685" s="100">
        <v>2</v>
      </c>
      <c r="V685" s="108">
        <v>0</v>
      </c>
      <c r="W685" s="22" t="s">
        <v>40</v>
      </c>
      <c r="X685" s="22" t="str">
        <f t="shared" si="60"/>
        <v>2PEW0.8</v>
      </c>
      <c r="Y685" s="22" t="s">
        <v>32</v>
      </c>
      <c r="Z685" s="78"/>
    </row>
    <row r="686" spans="1:34" s="70" customFormat="1" ht="24.95" customHeight="1">
      <c r="A686" s="80"/>
      <c r="B686" s="147">
        <v>45566</v>
      </c>
      <c r="C686" s="152" t="s">
        <v>35</v>
      </c>
      <c r="D686" s="59" t="s">
        <v>20</v>
      </c>
      <c r="E686" s="14" t="str">
        <f t="shared" si="62"/>
        <v>11B</v>
      </c>
      <c r="F686" s="111" t="s">
        <v>42</v>
      </c>
      <c r="G686" s="15" t="s">
        <v>27</v>
      </c>
      <c r="H686" s="111">
        <v>0.75</v>
      </c>
      <c r="I686" s="22" t="s">
        <v>43</v>
      </c>
      <c r="J686" s="21" t="s">
        <v>47</v>
      </c>
      <c r="K686" s="21" t="s">
        <v>47</v>
      </c>
      <c r="L686" s="21" t="s">
        <v>60</v>
      </c>
      <c r="M686" s="150"/>
      <c r="N686" s="23" t="s">
        <v>1813</v>
      </c>
      <c r="O686" s="23" t="s">
        <v>39</v>
      </c>
      <c r="P686" s="23" t="s">
        <v>542</v>
      </c>
      <c r="Q686" s="88">
        <v>3</v>
      </c>
      <c r="R686" s="54">
        <v>45594</v>
      </c>
      <c r="S686" s="54">
        <v>45596</v>
      </c>
      <c r="T686" s="45" t="s">
        <v>19</v>
      </c>
      <c r="U686" s="100">
        <v>5</v>
      </c>
      <c r="V686" s="108">
        <v>0</v>
      </c>
      <c r="W686" s="22" t="s">
        <v>40</v>
      </c>
      <c r="X686" s="22" t="str">
        <f t="shared" si="60"/>
        <v>D1-PEW-B-2Y0.75</v>
      </c>
      <c r="Y686" s="22" t="s">
        <v>32</v>
      </c>
      <c r="Z686" s="78"/>
    </row>
    <row r="687" spans="1:34" s="70" customFormat="1" ht="24.95" customHeight="1">
      <c r="A687" s="80"/>
      <c r="B687" s="147">
        <v>45566</v>
      </c>
      <c r="C687" s="152" t="s">
        <v>35</v>
      </c>
      <c r="D687" s="59" t="s">
        <v>20</v>
      </c>
      <c r="E687" s="14" t="str">
        <f t="shared" si="62"/>
        <v>11B</v>
      </c>
      <c r="F687" s="111" t="s">
        <v>42</v>
      </c>
      <c r="G687" s="3" t="s">
        <v>26</v>
      </c>
      <c r="H687" s="111">
        <v>0.75</v>
      </c>
      <c r="I687" s="22" t="s">
        <v>43</v>
      </c>
      <c r="J687" s="21" t="s">
        <v>1202</v>
      </c>
      <c r="K687" s="21"/>
      <c r="L687" s="21" t="s">
        <v>1814</v>
      </c>
      <c r="M687" s="150"/>
      <c r="N687" s="23" t="s">
        <v>1815</v>
      </c>
      <c r="O687" s="23" t="s">
        <v>56</v>
      </c>
      <c r="P687" s="23" t="s">
        <v>1816</v>
      </c>
      <c r="Q687" s="88">
        <v>6</v>
      </c>
      <c r="R687" s="54">
        <v>45595</v>
      </c>
      <c r="S687" s="54">
        <v>45596</v>
      </c>
      <c r="T687" s="45" t="s">
        <v>19</v>
      </c>
      <c r="U687" s="100">
        <v>6</v>
      </c>
      <c r="V687" s="108">
        <v>0</v>
      </c>
      <c r="W687" s="22" t="s">
        <v>40</v>
      </c>
      <c r="X687" s="22" t="str">
        <f t="shared" si="60"/>
        <v>D1-PEW-B-2Y0.75</v>
      </c>
      <c r="Y687" s="22" t="s">
        <v>32</v>
      </c>
      <c r="Z687" s="78"/>
    </row>
    <row r="688" spans="1:34" s="70" customFormat="1" ht="24.95" customHeight="1">
      <c r="A688" s="80"/>
      <c r="B688" s="147">
        <v>45566</v>
      </c>
      <c r="C688" s="152" t="s">
        <v>35</v>
      </c>
      <c r="D688" s="59" t="s">
        <v>20</v>
      </c>
      <c r="E688" s="14" t="str">
        <f t="shared" si="62"/>
        <v>11B</v>
      </c>
      <c r="F688" s="111" t="s">
        <v>42</v>
      </c>
      <c r="G688" s="15" t="s">
        <v>27</v>
      </c>
      <c r="H688" s="111">
        <v>0.75</v>
      </c>
      <c r="I688" s="22" t="s">
        <v>43</v>
      </c>
      <c r="J688" s="21" t="s">
        <v>1817</v>
      </c>
      <c r="K688" s="21" t="s">
        <v>1818</v>
      </c>
      <c r="L688" s="21" t="s">
        <v>1009</v>
      </c>
      <c r="M688" s="150"/>
      <c r="N688" s="23" t="s">
        <v>1819</v>
      </c>
      <c r="O688" s="23" t="s">
        <v>39</v>
      </c>
      <c r="P688" s="23" t="s">
        <v>542</v>
      </c>
      <c r="Q688" s="88">
        <v>3</v>
      </c>
      <c r="R688" s="54">
        <v>45595</v>
      </c>
      <c r="S688" s="54">
        <v>45596</v>
      </c>
      <c r="T688" s="45" t="s">
        <v>19</v>
      </c>
      <c r="U688" s="100">
        <v>3</v>
      </c>
      <c r="V688" s="108">
        <v>0</v>
      </c>
      <c r="W688" s="22" t="s">
        <v>40</v>
      </c>
      <c r="X688" s="22" t="str">
        <f t="shared" si="60"/>
        <v>D1-PEW-B-2Y0.75</v>
      </c>
      <c r="Y688" s="22" t="s">
        <v>32</v>
      </c>
      <c r="Z688" s="78"/>
    </row>
    <row r="689" spans="1:26" s="70" customFormat="1" ht="24.95" customHeight="1">
      <c r="A689" s="80"/>
      <c r="B689" s="147">
        <v>45566</v>
      </c>
      <c r="C689" s="153" t="s">
        <v>51</v>
      </c>
      <c r="D689" s="59" t="s">
        <v>20</v>
      </c>
      <c r="E689" s="14" t="str">
        <f>IF(B598="","",LEFT(N689,3))</f>
        <v>H1A</v>
      </c>
      <c r="F689" s="111" t="s">
        <v>52</v>
      </c>
      <c r="G689" s="15" t="s">
        <v>27</v>
      </c>
      <c r="H689" s="111">
        <v>0.26</v>
      </c>
      <c r="I689" s="22" t="s">
        <v>43</v>
      </c>
      <c r="J689" s="21" t="s">
        <v>1730</v>
      </c>
      <c r="K689" s="21" t="s">
        <v>1731</v>
      </c>
      <c r="L689" s="21" t="s">
        <v>1732</v>
      </c>
      <c r="M689" s="150"/>
      <c r="N689" s="23" t="s">
        <v>1733</v>
      </c>
      <c r="O689" s="23" t="s">
        <v>30</v>
      </c>
      <c r="P689" s="23" t="s">
        <v>38</v>
      </c>
      <c r="Q689" s="88">
        <v>5</v>
      </c>
      <c r="R689" s="54">
        <v>45576</v>
      </c>
      <c r="S689" s="54">
        <v>45587</v>
      </c>
      <c r="T689" s="45" t="s">
        <v>19</v>
      </c>
      <c r="U689" s="100">
        <v>5</v>
      </c>
      <c r="V689" s="108">
        <v>0</v>
      </c>
      <c r="W689" s="22" t="s">
        <v>40</v>
      </c>
      <c r="X689" s="22" t="str">
        <f t="shared" si="59"/>
        <v>D2IDW4-B-20.26</v>
      </c>
      <c r="Y689" s="22" t="s">
        <v>32</v>
      </c>
      <c r="Z689" s="78"/>
    </row>
    <row r="690" spans="1:26" s="70" customFormat="1" ht="24.95" customHeight="1">
      <c r="A690" s="80"/>
      <c r="B690" s="147">
        <v>45566</v>
      </c>
      <c r="C690" s="153" t="s">
        <v>51</v>
      </c>
      <c r="D690" s="59" t="s">
        <v>20</v>
      </c>
      <c r="E690" s="14" t="str">
        <f t="shared" ref="E690:E703" si="63">IF(B580="","",LEFT(N690,3))</f>
        <v>H2A</v>
      </c>
      <c r="F690" s="111" t="s">
        <v>52</v>
      </c>
      <c r="G690" s="15" t="s">
        <v>27</v>
      </c>
      <c r="H690" s="111">
        <v>0.25</v>
      </c>
      <c r="I690" s="22" t="s">
        <v>31</v>
      </c>
      <c r="J690" s="21" t="s">
        <v>1730</v>
      </c>
      <c r="K690" s="21" t="s">
        <v>1731</v>
      </c>
      <c r="L690" s="21" t="s">
        <v>1732</v>
      </c>
      <c r="M690" s="150"/>
      <c r="N690" s="23" t="s">
        <v>1734</v>
      </c>
      <c r="O690" s="23" t="s">
        <v>30</v>
      </c>
      <c r="P690" s="23" t="s">
        <v>38</v>
      </c>
      <c r="Q690" s="88">
        <v>5</v>
      </c>
      <c r="R690" s="54">
        <v>45576</v>
      </c>
      <c r="S690" s="54">
        <v>45587</v>
      </c>
      <c r="T690" s="45" t="s">
        <v>19</v>
      </c>
      <c r="U690" s="100">
        <v>5</v>
      </c>
      <c r="V690" s="108">
        <v>0</v>
      </c>
      <c r="W690" s="22" t="s">
        <v>40</v>
      </c>
      <c r="X690" s="22" t="str">
        <f t="shared" si="59"/>
        <v>D2IDW4-B-20.25</v>
      </c>
      <c r="Y690" s="22" t="s">
        <v>32</v>
      </c>
      <c r="Z690" s="78"/>
    </row>
    <row r="691" spans="1:26" s="70" customFormat="1" ht="24.95" customHeight="1">
      <c r="A691" s="80"/>
      <c r="B691" s="147">
        <v>45566</v>
      </c>
      <c r="C691" s="153" t="s">
        <v>51</v>
      </c>
      <c r="D691" s="59" t="s">
        <v>20</v>
      </c>
      <c r="E691" s="14" t="str">
        <f t="shared" si="63"/>
        <v>H2B</v>
      </c>
      <c r="F691" s="111" t="s">
        <v>52</v>
      </c>
      <c r="G691" s="15" t="s">
        <v>27</v>
      </c>
      <c r="H691" s="111">
        <v>0.31</v>
      </c>
      <c r="I691" s="22" t="s">
        <v>31</v>
      </c>
      <c r="J691" s="21" t="s">
        <v>1730</v>
      </c>
      <c r="K691" s="21" t="s">
        <v>1731</v>
      </c>
      <c r="L691" s="21" t="s">
        <v>1732</v>
      </c>
      <c r="M691" s="150"/>
      <c r="N691" s="23" t="s">
        <v>1735</v>
      </c>
      <c r="O691" s="23" t="s">
        <v>30</v>
      </c>
      <c r="P691" s="23" t="s">
        <v>38</v>
      </c>
      <c r="Q691" s="88">
        <v>5</v>
      </c>
      <c r="R691" s="54">
        <v>45576</v>
      </c>
      <c r="S691" s="54">
        <v>45587</v>
      </c>
      <c r="T691" s="45" t="s">
        <v>19</v>
      </c>
      <c r="U691" s="100">
        <v>5</v>
      </c>
      <c r="V691" s="108">
        <v>0</v>
      </c>
      <c r="W691" s="22" t="s">
        <v>40</v>
      </c>
      <c r="X691" s="22" t="str">
        <f t="shared" si="59"/>
        <v>D2IDW4-B-20.31</v>
      </c>
      <c r="Y691" s="22" t="s">
        <v>32</v>
      </c>
      <c r="Z691" s="78"/>
    </row>
    <row r="692" spans="1:26" s="70" customFormat="1" ht="24.95" customHeight="1">
      <c r="A692" s="80"/>
      <c r="B692" s="147">
        <v>45566</v>
      </c>
      <c r="C692" s="153" t="s">
        <v>51</v>
      </c>
      <c r="D692" s="59" t="s">
        <v>20</v>
      </c>
      <c r="E692" s="14" t="str">
        <f t="shared" si="63"/>
        <v>H1B</v>
      </c>
      <c r="F692" s="111" t="s">
        <v>52</v>
      </c>
      <c r="G692" s="15" t="s">
        <v>27</v>
      </c>
      <c r="H692" s="111">
        <v>0.26</v>
      </c>
      <c r="I692" s="22" t="s">
        <v>43</v>
      </c>
      <c r="J692" s="21" t="s">
        <v>1730</v>
      </c>
      <c r="K692" s="21" t="s">
        <v>1731</v>
      </c>
      <c r="L692" s="21" t="s">
        <v>1732</v>
      </c>
      <c r="M692" s="150"/>
      <c r="N692" s="23" t="s">
        <v>1736</v>
      </c>
      <c r="O692" s="23" t="s">
        <v>30</v>
      </c>
      <c r="P692" s="23" t="s">
        <v>38</v>
      </c>
      <c r="Q692" s="88">
        <v>5</v>
      </c>
      <c r="R692" s="54">
        <v>45576</v>
      </c>
      <c r="S692" s="54">
        <v>45587</v>
      </c>
      <c r="T692" s="45" t="s">
        <v>19</v>
      </c>
      <c r="U692" s="100">
        <v>5</v>
      </c>
      <c r="V692" s="108">
        <v>0</v>
      </c>
      <c r="W692" s="22" t="s">
        <v>40</v>
      </c>
      <c r="X692" s="22" t="str">
        <f t="shared" si="59"/>
        <v>D2IDW4-B-20.26</v>
      </c>
      <c r="Y692" s="22" t="s">
        <v>32</v>
      </c>
      <c r="Z692" s="78"/>
    </row>
    <row r="693" spans="1:26" s="70" customFormat="1" ht="24.95" customHeight="1">
      <c r="A693" s="80"/>
      <c r="B693" s="147">
        <v>45566</v>
      </c>
      <c r="C693" s="153" t="s">
        <v>51</v>
      </c>
      <c r="D693" s="59" t="s">
        <v>20</v>
      </c>
      <c r="E693" s="14" t="str">
        <f t="shared" si="63"/>
        <v>H1B</v>
      </c>
      <c r="F693" s="111" t="s">
        <v>52</v>
      </c>
      <c r="G693" s="3" t="s">
        <v>26</v>
      </c>
      <c r="H693" s="111">
        <v>0.26</v>
      </c>
      <c r="I693" s="22" t="s">
        <v>43</v>
      </c>
      <c r="J693" s="21" t="s">
        <v>360</v>
      </c>
      <c r="K693" s="21"/>
      <c r="L693" s="21" t="s">
        <v>1737</v>
      </c>
      <c r="M693" s="150"/>
      <c r="N693" s="23" t="s">
        <v>1738</v>
      </c>
      <c r="O693" s="23" t="s">
        <v>30</v>
      </c>
      <c r="P693" s="23" t="s">
        <v>38</v>
      </c>
      <c r="Q693" s="88">
        <v>5</v>
      </c>
      <c r="R693" s="54">
        <v>45585</v>
      </c>
      <c r="S693" s="54">
        <v>45587</v>
      </c>
      <c r="T693" s="45" t="s">
        <v>19</v>
      </c>
      <c r="U693" s="100">
        <v>5</v>
      </c>
      <c r="V693" s="108">
        <v>0</v>
      </c>
      <c r="W693" s="22" t="s">
        <v>40</v>
      </c>
      <c r="X693" s="22" t="str">
        <f t="shared" si="59"/>
        <v>D2IDW4-B-20.26</v>
      </c>
      <c r="Y693" s="22" t="s">
        <v>32</v>
      </c>
      <c r="Z693" s="78"/>
    </row>
    <row r="694" spans="1:26" s="70" customFormat="1" ht="24.95" customHeight="1">
      <c r="A694" s="80"/>
      <c r="B694" s="147">
        <v>45566</v>
      </c>
      <c r="C694" s="153" t="s">
        <v>51</v>
      </c>
      <c r="D694" s="59" t="s">
        <v>20</v>
      </c>
      <c r="E694" s="14" t="str">
        <f t="shared" si="63"/>
        <v>H2B</v>
      </c>
      <c r="F694" s="111" t="s">
        <v>52</v>
      </c>
      <c r="G694" s="3" t="s">
        <v>26</v>
      </c>
      <c r="H694" s="111">
        <v>0.31</v>
      </c>
      <c r="I694" s="22" t="s">
        <v>31</v>
      </c>
      <c r="J694" s="21" t="s">
        <v>657</v>
      </c>
      <c r="K694" s="21"/>
      <c r="L694" s="21" t="s">
        <v>761</v>
      </c>
      <c r="M694" s="150"/>
      <c r="N694" s="23" t="s">
        <v>1739</v>
      </c>
      <c r="O694" s="23" t="s">
        <v>30</v>
      </c>
      <c r="P694" s="23" t="s">
        <v>273</v>
      </c>
      <c r="Q694" s="88">
        <v>1</v>
      </c>
      <c r="R694" s="54">
        <v>45581</v>
      </c>
      <c r="S694" s="54">
        <v>45587</v>
      </c>
      <c r="T694" s="45" t="s">
        <v>19</v>
      </c>
      <c r="U694" s="100">
        <v>1</v>
      </c>
      <c r="V694" s="108">
        <v>0</v>
      </c>
      <c r="W694" s="22" t="s">
        <v>40</v>
      </c>
      <c r="X694" s="22" t="str">
        <f t="shared" si="59"/>
        <v>D2IDW4-B-20.31</v>
      </c>
      <c r="Y694" s="22" t="s">
        <v>32</v>
      </c>
      <c r="Z694" s="78"/>
    </row>
    <row r="695" spans="1:26" s="70" customFormat="1" ht="24.95" customHeight="1">
      <c r="A695" s="80"/>
      <c r="B695" s="147">
        <v>45566</v>
      </c>
      <c r="C695" s="153" t="s">
        <v>51</v>
      </c>
      <c r="D695" s="59" t="s">
        <v>20</v>
      </c>
      <c r="E695" s="14" t="str">
        <f t="shared" si="63"/>
        <v>H2A</v>
      </c>
      <c r="F695" s="111" t="s">
        <v>52</v>
      </c>
      <c r="G695" s="3" t="s">
        <v>26</v>
      </c>
      <c r="H695" s="111">
        <v>0.25</v>
      </c>
      <c r="I695" s="22" t="s">
        <v>31</v>
      </c>
      <c r="J695" s="21" t="s">
        <v>207</v>
      </c>
      <c r="K695" s="21" t="s">
        <v>207</v>
      </c>
      <c r="L695" s="21" t="s">
        <v>1740</v>
      </c>
      <c r="M695" s="150"/>
      <c r="N695" s="23" t="s">
        <v>1741</v>
      </c>
      <c r="O695" s="23" t="s">
        <v>30</v>
      </c>
      <c r="P695" s="23" t="s">
        <v>256</v>
      </c>
      <c r="Q695" s="88">
        <v>1</v>
      </c>
      <c r="R695" s="54">
        <v>45583</v>
      </c>
      <c r="S695" s="54">
        <v>45587</v>
      </c>
      <c r="T695" s="45" t="s">
        <v>19</v>
      </c>
      <c r="U695" s="100">
        <v>1</v>
      </c>
      <c r="V695" s="108">
        <v>0</v>
      </c>
      <c r="W695" s="22" t="s">
        <v>40</v>
      </c>
      <c r="X695" s="22" t="str">
        <f t="shared" si="59"/>
        <v>D2IDW4-B-20.25</v>
      </c>
      <c r="Y695" s="22" t="s">
        <v>32</v>
      </c>
      <c r="Z695" s="78"/>
    </row>
    <row r="696" spans="1:26" s="70" customFormat="1" ht="24.95" customHeight="1">
      <c r="A696" s="80"/>
      <c r="B696" s="147">
        <v>45566</v>
      </c>
      <c r="C696" s="153" t="s">
        <v>51</v>
      </c>
      <c r="D696" s="59" t="s">
        <v>20</v>
      </c>
      <c r="E696" s="14" t="str">
        <f t="shared" si="63"/>
        <v>H1A</v>
      </c>
      <c r="F696" s="111" t="s">
        <v>52</v>
      </c>
      <c r="G696" s="3" t="s">
        <v>26</v>
      </c>
      <c r="H696" s="111">
        <v>0.26</v>
      </c>
      <c r="I696" s="22" t="s">
        <v>43</v>
      </c>
      <c r="J696" s="21" t="s">
        <v>221</v>
      </c>
      <c r="K696" s="21"/>
      <c r="L696" s="21" t="s">
        <v>1795</v>
      </c>
      <c r="M696" s="150"/>
      <c r="N696" s="23" t="s">
        <v>1796</v>
      </c>
      <c r="O696" s="23" t="s">
        <v>30</v>
      </c>
      <c r="P696" s="23" t="s">
        <v>250</v>
      </c>
      <c r="Q696" s="88">
        <v>1</v>
      </c>
      <c r="R696" s="54">
        <v>45597</v>
      </c>
      <c r="S696" s="54">
        <v>45604</v>
      </c>
      <c r="T696" s="45" t="s">
        <v>19</v>
      </c>
      <c r="U696" s="100">
        <v>1</v>
      </c>
      <c r="V696" s="108">
        <v>0</v>
      </c>
      <c r="W696" s="22" t="s">
        <v>40</v>
      </c>
      <c r="X696" s="22" t="str">
        <f t="shared" si="59"/>
        <v>D2IDW4-B-20.26</v>
      </c>
      <c r="Y696" s="22" t="s">
        <v>32</v>
      </c>
      <c r="Z696" s="78"/>
    </row>
    <row r="697" spans="1:26" s="70" customFormat="1" ht="24.95" customHeight="1">
      <c r="A697" s="80"/>
      <c r="B697" s="147">
        <v>45566</v>
      </c>
      <c r="C697" s="153" t="s">
        <v>51</v>
      </c>
      <c r="D697" s="59" t="s">
        <v>20</v>
      </c>
      <c r="E697" s="14" t="str">
        <f t="shared" si="63"/>
        <v>H1B</v>
      </c>
      <c r="F697" s="111" t="s">
        <v>52</v>
      </c>
      <c r="G697" s="3" t="s">
        <v>26</v>
      </c>
      <c r="H697" s="111">
        <v>0.26</v>
      </c>
      <c r="I697" s="22" t="s">
        <v>43</v>
      </c>
      <c r="J697" s="21" t="s">
        <v>53</v>
      </c>
      <c r="K697" s="21"/>
      <c r="L697" s="21" t="s">
        <v>761</v>
      </c>
      <c r="M697" s="150"/>
      <c r="N697" s="23" t="s">
        <v>1797</v>
      </c>
      <c r="O697" s="23" t="s">
        <v>30</v>
      </c>
      <c r="P697" s="23" t="s">
        <v>273</v>
      </c>
      <c r="Q697" s="88">
        <v>1</v>
      </c>
      <c r="R697" s="54">
        <v>45591</v>
      </c>
      <c r="S697" s="54">
        <v>45604</v>
      </c>
      <c r="T697" s="45" t="s">
        <v>19</v>
      </c>
      <c r="U697" s="100">
        <v>1</v>
      </c>
      <c r="V697" s="108">
        <v>0</v>
      </c>
      <c r="W697" s="22" t="s">
        <v>40</v>
      </c>
      <c r="X697" s="22" t="str">
        <f t="shared" si="59"/>
        <v>D2IDW4-B-20.26</v>
      </c>
      <c r="Y697" s="22" t="s">
        <v>32</v>
      </c>
      <c r="Z697" s="78"/>
    </row>
    <row r="698" spans="1:26" s="70" customFormat="1" ht="24.95" customHeight="1">
      <c r="A698" s="80"/>
      <c r="B698" s="147">
        <v>45566</v>
      </c>
      <c r="C698" s="153" t="s">
        <v>51</v>
      </c>
      <c r="D698" s="59" t="s">
        <v>20</v>
      </c>
      <c r="E698" s="14" t="str">
        <f t="shared" si="63"/>
        <v>H1A</v>
      </c>
      <c r="F698" s="111" t="s">
        <v>52</v>
      </c>
      <c r="G698" s="3" t="s">
        <v>26</v>
      </c>
      <c r="H698" s="111">
        <v>0.26</v>
      </c>
      <c r="I698" s="22" t="s">
        <v>43</v>
      </c>
      <c r="J698" s="21" t="s">
        <v>1798</v>
      </c>
      <c r="K698" s="21"/>
      <c r="L698" s="21" t="s">
        <v>761</v>
      </c>
      <c r="M698" s="150"/>
      <c r="N698" s="23" t="s">
        <v>1799</v>
      </c>
      <c r="O698" s="23" t="s">
        <v>30</v>
      </c>
      <c r="P698" s="23" t="s">
        <v>1800</v>
      </c>
      <c r="Q698" s="88">
        <v>2</v>
      </c>
      <c r="R698" s="54">
        <v>45594</v>
      </c>
      <c r="S698" s="54">
        <v>45604</v>
      </c>
      <c r="T698" s="45" t="s">
        <v>19</v>
      </c>
      <c r="U698" s="100">
        <v>2</v>
      </c>
      <c r="V698" s="108">
        <v>0</v>
      </c>
      <c r="W698" s="22" t="s">
        <v>40</v>
      </c>
      <c r="X698" s="22" t="str">
        <f t="shared" si="59"/>
        <v>D2IDW4-B-20.26</v>
      </c>
      <c r="Y698" s="22" t="s">
        <v>32</v>
      </c>
      <c r="Z698" s="78"/>
    </row>
    <row r="699" spans="1:26" s="70" customFormat="1" ht="24.95" customHeight="1">
      <c r="A699" s="80"/>
      <c r="B699" s="147">
        <v>45566</v>
      </c>
      <c r="C699" s="153" t="s">
        <v>51</v>
      </c>
      <c r="D699" s="59" t="s">
        <v>20</v>
      </c>
      <c r="E699" s="14" t="str">
        <f t="shared" si="63"/>
        <v>H1A</v>
      </c>
      <c r="F699" s="111" t="s">
        <v>52</v>
      </c>
      <c r="G699" s="15" t="s">
        <v>27</v>
      </c>
      <c r="H699" s="111">
        <v>0.26</v>
      </c>
      <c r="I699" s="22" t="s">
        <v>43</v>
      </c>
      <c r="J699" s="21" t="s">
        <v>1804</v>
      </c>
      <c r="K699" s="21" t="s">
        <v>1801</v>
      </c>
      <c r="L699" s="21" t="s">
        <v>1802</v>
      </c>
      <c r="M699" s="150"/>
      <c r="N699" s="23" t="s">
        <v>1803</v>
      </c>
      <c r="O699" s="23" t="s">
        <v>176</v>
      </c>
      <c r="P699" s="23" t="s">
        <v>38</v>
      </c>
      <c r="Q699" s="88">
        <v>10</v>
      </c>
      <c r="R699" s="54">
        <v>45577</v>
      </c>
      <c r="S699" s="54">
        <v>45595</v>
      </c>
      <c r="T699" s="45" t="s">
        <v>19</v>
      </c>
      <c r="U699" s="100">
        <v>10</v>
      </c>
      <c r="V699" s="108">
        <v>0</v>
      </c>
      <c r="W699" s="22" t="s">
        <v>40</v>
      </c>
      <c r="X699" s="22" t="str">
        <f t="shared" si="59"/>
        <v>D2IDW4-B-20.26</v>
      </c>
      <c r="Y699" s="22" t="s">
        <v>32</v>
      </c>
      <c r="Z699" s="78"/>
    </row>
    <row r="700" spans="1:26" s="70" customFormat="1" ht="24.95" customHeight="1">
      <c r="A700" s="80"/>
      <c r="B700" s="147">
        <v>45566</v>
      </c>
      <c r="C700" s="153" t="s">
        <v>51</v>
      </c>
      <c r="D700" s="59" t="s">
        <v>20</v>
      </c>
      <c r="E700" s="14" t="str">
        <f t="shared" si="63"/>
        <v>H1B</v>
      </c>
      <c r="F700" s="111" t="s">
        <v>52</v>
      </c>
      <c r="G700" s="15" t="s">
        <v>27</v>
      </c>
      <c r="H700" s="111">
        <v>0.26</v>
      </c>
      <c r="I700" s="22" t="s">
        <v>43</v>
      </c>
      <c r="J700" s="21" t="s">
        <v>1804</v>
      </c>
      <c r="K700" s="21" t="s">
        <v>1801</v>
      </c>
      <c r="L700" s="21" t="s">
        <v>1802</v>
      </c>
      <c r="M700" s="150"/>
      <c r="N700" s="23" t="s">
        <v>1805</v>
      </c>
      <c r="O700" s="23" t="s">
        <v>176</v>
      </c>
      <c r="P700" s="23" t="s">
        <v>38</v>
      </c>
      <c r="Q700" s="88">
        <v>10</v>
      </c>
      <c r="R700" s="54">
        <v>45577</v>
      </c>
      <c r="S700" s="54">
        <v>45595</v>
      </c>
      <c r="T700" s="45" t="s">
        <v>19</v>
      </c>
      <c r="U700" s="100">
        <v>10</v>
      </c>
      <c r="V700" s="108">
        <v>0</v>
      </c>
      <c r="W700" s="22" t="s">
        <v>40</v>
      </c>
      <c r="X700" s="22" t="str">
        <f t="shared" si="59"/>
        <v>D2IDW4-B-20.26</v>
      </c>
      <c r="Y700" s="22" t="s">
        <v>32</v>
      </c>
      <c r="Z700" s="78"/>
    </row>
    <row r="701" spans="1:26" s="70" customFormat="1" ht="24.95" customHeight="1">
      <c r="A701" s="80"/>
      <c r="B701" s="147">
        <v>45566</v>
      </c>
      <c r="C701" s="153" t="s">
        <v>51</v>
      </c>
      <c r="D701" s="59" t="s">
        <v>20</v>
      </c>
      <c r="E701" s="14" t="str">
        <f t="shared" si="63"/>
        <v>H2B</v>
      </c>
      <c r="F701" s="111" t="s">
        <v>52</v>
      </c>
      <c r="G701" s="15" t="s">
        <v>27</v>
      </c>
      <c r="H701" s="111">
        <v>0.31</v>
      </c>
      <c r="I701" s="22" t="s">
        <v>31</v>
      </c>
      <c r="J701" s="21" t="s">
        <v>1804</v>
      </c>
      <c r="K701" s="21" t="s">
        <v>1801</v>
      </c>
      <c r="L701" s="21" t="s">
        <v>1802</v>
      </c>
      <c r="M701" s="150"/>
      <c r="N701" s="23" t="s">
        <v>1806</v>
      </c>
      <c r="O701" s="23" t="s">
        <v>1807</v>
      </c>
      <c r="P701" s="23" t="s">
        <v>38</v>
      </c>
      <c r="Q701" s="88">
        <v>15</v>
      </c>
      <c r="R701" s="54">
        <v>45577</v>
      </c>
      <c r="S701" s="54">
        <v>45595</v>
      </c>
      <c r="T701" s="45" t="s">
        <v>19</v>
      </c>
      <c r="U701" s="100">
        <v>15</v>
      </c>
      <c r="V701" s="108">
        <v>0</v>
      </c>
      <c r="W701" s="22" t="s">
        <v>40</v>
      </c>
      <c r="X701" s="22" t="str">
        <f t="shared" si="59"/>
        <v>D2IDW4-B-20.31</v>
      </c>
      <c r="Y701" s="22" t="s">
        <v>32</v>
      </c>
      <c r="Z701" s="78"/>
    </row>
    <row r="702" spans="1:26" s="70" customFormat="1" ht="24.95" customHeight="1">
      <c r="A702" s="80"/>
      <c r="B702" s="147">
        <v>45566</v>
      </c>
      <c r="C702" s="153" t="s">
        <v>51</v>
      </c>
      <c r="D702" s="59" t="s">
        <v>20</v>
      </c>
      <c r="E702" s="14" t="str">
        <f t="shared" si="63"/>
        <v>H2A</v>
      </c>
      <c r="F702" s="111" t="s">
        <v>52</v>
      </c>
      <c r="G702" s="15" t="s">
        <v>27</v>
      </c>
      <c r="H702" s="111">
        <v>0.25</v>
      </c>
      <c r="I702" s="22" t="s">
        <v>31</v>
      </c>
      <c r="J702" s="21" t="s">
        <v>1804</v>
      </c>
      <c r="K702" s="21" t="s">
        <v>1801</v>
      </c>
      <c r="L702" s="21" t="s">
        <v>1802</v>
      </c>
      <c r="M702" s="150"/>
      <c r="N702" s="23" t="s">
        <v>1808</v>
      </c>
      <c r="O702" s="23" t="s">
        <v>1077</v>
      </c>
      <c r="P702" s="23" t="s">
        <v>38</v>
      </c>
      <c r="Q702" s="88">
        <v>10</v>
      </c>
      <c r="R702" s="54">
        <v>45577</v>
      </c>
      <c r="S702" s="54">
        <v>45595</v>
      </c>
      <c r="T702" s="45" t="s">
        <v>19</v>
      </c>
      <c r="U702" s="100">
        <v>10</v>
      </c>
      <c r="V702" s="108">
        <v>0</v>
      </c>
      <c r="W702" s="22" t="s">
        <v>40</v>
      </c>
      <c r="X702" s="22" t="str">
        <f t="shared" si="59"/>
        <v>D2IDW4-B-20.25</v>
      </c>
      <c r="Y702" s="22" t="s">
        <v>32</v>
      </c>
      <c r="Z702" s="78"/>
    </row>
    <row r="703" spans="1:26" s="70" customFormat="1" ht="24.95" customHeight="1">
      <c r="A703" s="80"/>
      <c r="B703" s="147">
        <v>45566</v>
      </c>
      <c r="C703" s="153" t="s">
        <v>51</v>
      </c>
      <c r="D703" s="59" t="s">
        <v>20</v>
      </c>
      <c r="E703" s="14" t="str">
        <f t="shared" si="63"/>
        <v>H1B</v>
      </c>
      <c r="F703" s="111" t="s">
        <v>52</v>
      </c>
      <c r="G703" s="3" t="s">
        <v>26</v>
      </c>
      <c r="H703" s="111">
        <v>0.26</v>
      </c>
      <c r="I703" s="22" t="s">
        <v>43</v>
      </c>
      <c r="J703" s="21" t="s">
        <v>221</v>
      </c>
      <c r="K703" s="21" t="s">
        <v>221</v>
      </c>
      <c r="L703" s="21"/>
      <c r="M703" s="150"/>
      <c r="N703" s="23" t="s">
        <v>1820</v>
      </c>
      <c r="O703" s="23" t="s">
        <v>30</v>
      </c>
      <c r="P703" s="23" t="s">
        <v>1417</v>
      </c>
      <c r="Q703" s="88">
        <v>2</v>
      </c>
      <c r="R703" s="54">
        <v>45567</v>
      </c>
      <c r="S703" s="54">
        <v>45607</v>
      </c>
      <c r="T703" s="45" t="s">
        <v>19</v>
      </c>
      <c r="U703" s="100">
        <v>2</v>
      </c>
      <c r="V703" s="108">
        <v>0</v>
      </c>
      <c r="W703" s="22" t="s">
        <v>40</v>
      </c>
      <c r="X703" s="22" t="str">
        <f t="shared" si="59"/>
        <v>D2IDW4-B-20.26</v>
      </c>
      <c r="Y703" s="22" t="s">
        <v>32</v>
      </c>
      <c r="Z703" s="78"/>
    </row>
    <row r="704" spans="1:26" s="70" customFormat="1" ht="24.95" customHeight="1">
      <c r="A704" s="80"/>
      <c r="B704" s="147">
        <v>45597</v>
      </c>
      <c r="C704" s="152" t="s">
        <v>35</v>
      </c>
      <c r="D704" s="59" t="s">
        <v>20</v>
      </c>
      <c r="E704" s="14" t="str">
        <f>IF(B586="","",LEFT(N704,3))</f>
        <v>V6A</v>
      </c>
      <c r="F704" s="111" t="s">
        <v>52</v>
      </c>
      <c r="G704" s="15" t="s">
        <v>27</v>
      </c>
      <c r="H704" s="111">
        <v>1.18</v>
      </c>
      <c r="I704" s="22" t="s">
        <v>187</v>
      </c>
      <c r="J704" s="21" t="s">
        <v>1788</v>
      </c>
      <c r="K704" s="21" t="s">
        <v>1788</v>
      </c>
      <c r="L704" s="21" t="s">
        <v>60</v>
      </c>
      <c r="M704" s="150"/>
      <c r="N704" s="23" t="s">
        <v>1789</v>
      </c>
      <c r="O704" s="23" t="s">
        <v>1790</v>
      </c>
      <c r="P704" s="45" t="s">
        <v>38</v>
      </c>
      <c r="Q704" s="45">
        <v>10</v>
      </c>
      <c r="R704" s="54">
        <v>45600</v>
      </c>
      <c r="S704" s="54">
        <v>45602</v>
      </c>
      <c r="T704" s="45" t="s">
        <v>19</v>
      </c>
      <c r="U704" s="100">
        <v>10</v>
      </c>
      <c r="V704" s="108">
        <v>0</v>
      </c>
      <c r="W704" s="22" t="s">
        <v>40</v>
      </c>
      <c r="X704" s="22" t="str">
        <f t="shared" si="59"/>
        <v>D2IDW4-B-21.18</v>
      </c>
      <c r="Y704" s="22" t="s">
        <v>32</v>
      </c>
      <c r="Z704" s="78"/>
    </row>
    <row r="705" spans="1:26" s="70" customFormat="1" ht="24.95" customHeight="1">
      <c r="A705" s="80"/>
      <c r="B705" s="147">
        <v>45597</v>
      </c>
      <c r="C705" s="152" t="s">
        <v>35</v>
      </c>
      <c r="D705" s="59" t="s">
        <v>20</v>
      </c>
      <c r="E705" s="14" t="str">
        <f>IF(B587="","",LEFT(N705,3))</f>
        <v>V6A</v>
      </c>
      <c r="F705" s="111" t="s">
        <v>186</v>
      </c>
      <c r="G705" s="15" t="s">
        <v>27</v>
      </c>
      <c r="H705" s="111">
        <v>1.18</v>
      </c>
      <c r="I705" s="22" t="s">
        <v>187</v>
      </c>
      <c r="J705" s="21" t="s">
        <v>1791</v>
      </c>
      <c r="K705" s="21" t="s">
        <v>1788</v>
      </c>
      <c r="L705" s="21" t="s">
        <v>60</v>
      </c>
      <c r="M705" s="150"/>
      <c r="N705" s="23" t="s">
        <v>1792</v>
      </c>
      <c r="O705" s="23" t="s">
        <v>242</v>
      </c>
      <c r="P705" s="45">
        <v>1.5</v>
      </c>
      <c r="Q705" s="45">
        <v>2</v>
      </c>
      <c r="R705" s="54">
        <v>45601</v>
      </c>
      <c r="S705" s="54">
        <v>45602</v>
      </c>
      <c r="T705" s="45" t="s">
        <v>19</v>
      </c>
      <c r="U705" s="100">
        <v>2</v>
      </c>
      <c r="V705" s="108">
        <v>0</v>
      </c>
      <c r="W705" s="22" t="s">
        <v>40</v>
      </c>
      <c r="X705" s="22" t="str">
        <f t="shared" ref="X705" si="64">F705&amp;H705</f>
        <v>1HGZ-MA1.18</v>
      </c>
      <c r="Y705" s="22" t="s">
        <v>32</v>
      </c>
      <c r="Z705" s="78"/>
    </row>
    <row r="706" spans="1:26" s="70" customFormat="1" ht="24.95" customHeight="1">
      <c r="A706" s="80"/>
      <c r="B706" s="147">
        <v>45597</v>
      </c>
      <c r="C706" s="152" t="s">
        <v>35</v>
      </c>
      <c r="D706" s="59" t="s">
        <v>20</v>
      </c>
      <c r="E706" s="14" t="str">
        <f>IF(B588="","",LEFT(N706,3))</f>
        <v>V6B</v>
      </c>
      <c r="F706" s="111" t="s">
        <v>1793</v>
      </c>
      <c r="G706" s="3" t="s">
        <v>26</v>
      </c>
      <c r="H706" s="111">
        <v>1.27</v>
      </c>
      <c r="I706" s="22" t="s">
        <v>206</v>
      </c>
      <c r="J706" s="21" t="s">
        <v>287</v>
      </c>
      <c r="K706" s="21"/>
      <c r="L706" s="21"/>
      <c r="M706" s="150"/>
      <c r="N706" s="23" t="s">
        <v>1794</v>
      </c>
      <c r="O706" s="23" t="s">
        <v>30</v>
      </c>
      <c r="P706" s="45">
        <v>6</v>
      </c>
      <c r="Q706" s="45">
        <v>1</v>
      </c>
      <c r="R706" s="54">
        <v>45601</v>
      </c>
      <c r="S706" s="54">
        <v>45602</v>
      </c>
      <c r="T706" s="45" t="s">
        <v>19</v>
      </c>
      <c r="U706" s="100">
        <v>1</v>
      </c>
      <c r="V706" s="108">
        <v>0</v>
      </c>
      <c r="W706" s="22" t="s">
        <v>40</v>
      </c>
      <c r="X706" s="22" t="str">
        <f t="shared" ref="X706:X759" si="65">F706&amp;H706</f>
        <v>2EIWAD-SS1.27</v>
      </c>
      <c r="Y706" s="22" t="s">
        <v>32</v>
      </c>
      <c r="Z706" s="78"/>
    </row>
    <row r="707" spans="1:26" s="70" customFormat="1" ht="24.95" customHeight="1">
      <c r="A707" s="80"/>
      <c r="B707" s="147">
        <v>45597</v>
      </c>
      <c r="C707" s="152" t="s">
        <v>35</v>
      </c>
      <c r="D707" s="59" t="s">
        <v>20</v>
      </c>
      <c r="E707" s="14" t="str">
        <f t="shared" ref="E707:E740" si="66">IF(B589="","",LEFT(N707,3))</f>
        <v>V6A</v>
      </c>
      <c r="F707" s="111" t="s">
        <v>186</v>
      </c>
      <c r="G707" s="3" t="s">
        <v>26</v>
      </c>
      <c r="H707" s="111">
        <v>1.18</v>
      </c>
      <c r="I707" s="22" t="s">
        <v>187</v>
      </c>
      <c r="J707" s="21" t="s">
        <v>287</v>
      </c>
      <c r="K707" s="21"/>
      <c r="L707" s="21" t="s">
        <v>1320</v>
      </c>
      <c r="M707" s="150"/>
      <c r="N707" s="23" t="s">
        <v>1822</v>
      </c>
      <c r="O707" s="23" t="s">
        <v>30</v>
      </c>
      <c r="P707" s="45">
        <v>5</v>
      </c>
      <c r="Q707" s="45">
        <v>1</v>
      </c>
      <c r="R707" s="54">
        <v>45601</v>
      </c>
      <c r="S707" s="54">
        <v>45604</v>
      </c>
      <c r="T707" s="45" t="s">
        <v>19</v>
      </c>
      <c r="U707" s="100">
        <v>1</v>
      </c>
      <c r="V707" s="108">
        <v>0</v>
      </c>
      <c r="W707" s="22" t="s">
        <v>40</v>
      </c>
      <c r="X707" s="22" t="str">
        <f t="shared" si="65"/>
        <v>1HGZ-MA1.18</v>
      </c>
      <c r="Y707" s="22" t="s">
        <v>32</v>
      </c>
      <c r="Z707" s="78"/>
    </row>
    <row r="708" spans="1:26" s="70" customFormat="1" ht="24.95" customHeight="1">
      <c r="A708" s="80"/>
      <c r="B708" s="147">
        <v>45597</v>
      </c>
      <c r="C708" s="152" t="s">
        <v>35</v>
      </c>
      <c r="D708" s="59" t="s">
        <v>20</v>
      </c>
      <c r="E708" s="14" t="str">
        <f t="shared" si="66"/>
        <v>V6A</v>
      </c>
      <c r="F708" s="111" t="s">
        <v>186</v>
      </c>
      <c r="G708" s="15" t="s">
        <v>26</v>
      </c>
      <c r="H708" s="111">
        <v>1.18</v>
      </c>
      <c r="I708" s="22" t="s">
        <v>187</v>
      </c>
      <c r="J708" s="21" t="s">
        <v>287</v>
      </c>
      <c r="K708" s="21"/>
      <c r="L708" s="21"/>
      <c r="M708" s="150"/>
      <c r="N708" s="23" t="s">
        <v>1789</v>
      </c>
      <c r="O708" s="23" t="s">
        <v>193</v>
      </c>
      <c r="P708" s="23" t="s">
        <v>194</v>
      </c>
      <c r="Q708" s="45">
        <v>2</v>
      </c>
      <c r="R708" s="54">
        <v>45601</v>
      </c>
      <c r="S708" s="54">
        <v>45604</v>
      </c>
      <c r="T708" s="45" t="s">
        <v>19</v>
      </c>
      <c r="U708" s="100">
        <v>2</v>
      </c>
      <c r="V708" s="108">
        <v>0</v>
      </c>
      <c r="W708" s="22" t="s">
        <v>40</v>
      </c>
      <c r="X708" s="22" t="str">
        <f t="shared" si="65"/>
        <v>1HGZ-MA1.18</v>
      </c>
      <c r="Y708" s="22" t="s">
        <v>32</v>
      </c>
      <c r="Z708" s="78"/>
    </row>
    <row r="709" spans="1:26" s="70" customFormat="1" ht="24.95" customHeight="1">
      <c r="A709" s="80"/>
      <c r="B709" s="147">
        <v>45597</v>
      </c>
      <c r="C709" s="152" t="s">
        <v>35</v>
      </c>
      <c r="D709" s="59" t="s">
        <v>20</v>
      </c>
      <c r="E709" s="14" t="str">
        <f t="shared" si="66"/>
        <v>11B</v>
      </c>
      <c r="F709" s="111" t="s">
        <v>42</v>
      </c>
      <c r="G709" s="3" t="s">
        <v>26</v>
      </c>
      <c r="H709" s="111">
        <v>0.75</v>
      </c>
      <c r="I709" s="22" t="s">
        <v>43</v>
      </c>
      <c r="J709" s="21" t="s">
        <v>287</v>
      </c>
      <c r="K709" s="21"/>
      <c r="L709" s="21"/>
      <c r="M709" s="150"/>
      <c r="N709" s="23" t="s">
        <v>1823</v>
      </c>
      <c r="O709" s="23" t="s">
        <v>263</v>
      </c>
      <c r="P709" s="45">
        <v>1</v>
      </c>
      <c r="Q709" s="45">
        <v>1</v>
      </c>
      <c r="R709" s="54">
        <v>45606</v>
      </c>
      <c r="S709" s="54">
        <v>45608</v>
      </c>
      <c r="T709" s="45" t="s">
        <v>19</v>
      </c>
      <c r="U709" s="100">
        <v>1</v>
      </c>
      <c r="V709" s="108">
        <v>0</v>
      </c>
      <c r="W709" s="22" t="s">
        <v>40</v>
      </c>
      <c r="X709" s="22" t="str">
        <f t="shared" si="65"/>
        <v>D1-PEW-B-2Y0.75</v>
      </c>
      <c r="Y709" s="22" t="s">
        <v>32</v>
      </c>
      <c r="Z709" s="78"/>
    </row>
    <row r="710" spans="1:26" s="70" customFormat="1" ht="24.95" customHeight="1">
      <c r="A710" s="80"/>
      <c r="B710" s="147">
        <v>45597</v>
      </c>
      <c r="C710" s="152" t="s">
        <v>35</v>
      </c>
      <c r="D710" s="59" t="s">
        <v>20</v>
      </c>
      <c r="E710" s="14" t="str">
        <f t="shared" si="66"/>
        <v>V8A</v>
      </c>
      <c r="F710" s="111" t="s">
        <v>529</v>
      </c>
      <c r="G710" s="3" t="s">
        <v>26</v>
      </c>
      <c r="H710" s="111">
        <v>1.5</v>
      </c>
      <c r="I710" s="22" t="s">
        <v>530</v>
      </c>
      <c r="J710" s="21" t="s">
        <v>1681</v>
      </c>
      <c r="K710" s="21"/>
      <c r="L710" s="21" t="s">
        <v>1824</v>
      </c>
      <c r="M710" s="150"/>
      <c r="N710" s="23" t="s">
        <v>1825</v>
      </c>
      <c r="O710" s="23" t="s">
        <v>30</v>
      </c>
      <c r="P710" s="45">
        <v>1</v>
      </c>
      <c r="Q710" s="45">
        <v>1</v>
      </c>
      <c r="R710" s="54">
        <v>45602</v>
      </c>
      <c r="S710" s="54">
        <v>45608</v>
      </c>
      <c r="T710" s="45" t="s">
        <v>19</v>
      </c>
      <c r="U710" s="100">
        <v>0</v>
      </c>
      <c r="V710" s="108">
        <v>1</v>
      </c>
      <c r="W710" s="22" t="s">
        <v>40</v>
      </c>
      <c r="X710" s="22" t="str">
        <f t="shared" si="65"/>
        <v>1PEW1.5</v>
      </c>
      <c r="Y710" s="22" t="s">
        <v>182</v>
      </c>
      <c r="Z710" s="78"/>
    </row>
    <row r="711" spans="1:26" s="70" customFormat="1" ht="24.95" customHeight="1">
      <c r="A711" s="80"/>
      <c r="B711" s="147">
        <v>45597</v>
      </c>
      <c r="C711" s="152" t="s">
        <v>35</v>
      </c>
      <c r="D711" s="59" t="s">
        <v>20</v>
      </c>
      <c r="E711" s="14" t="str">
        <f t="shared" si="66"/>
        <v>11A</v>
      </c>
      <c r="F711" s="111" t="s">
        <v>151</v>
      </c>
      <c r="G711" s="3" t="s">
        <v>26</v>
      </c>
      <c r="H711" s="111">
        <v>0.9</v>
      </c>
      <c r="I711" s="22" t="s">
        <v>31</v>
      </c>
      <c r="J711" s="21" t="s">
        <v>1290</v>
      </c>
      <c r="K711" s="21"/>
      <c r="L711" s="21"/>
      <c r="M711" s="150"/>
      <c r="N711" s="23" t="s">
        <v>1826</v>
      </c>
      <c r="O711" s="23" t="s">
        <v>1827</v>
      </c>
      <c r="P711" s="45">
        <v>2</v>
      </c>
      <c r="Q711" s="45">
        <v>5</v>
      </c>
      <c r="R711" s="54">
        <v>45606</v>
      </c>
      <c r="S711" s="54">
        <v>45608</v>
      </c>
      <c r="T711" s="45" t="s">
        <v>19</v>
      </c>
      <c r="U711" s="100">
        <v>5</v>
      </c>
      <c r="V711" s="108">
        <v>0</v>
      </c>
      <c r="W711" s="22" t="s">
        <v>40</v>
      </c>
      <c r="X711" s="22" t="str">
        <f t="shared" si="65"/>
        <v>D1PEW-B-2Y0.9</v>
      </c>
      <c r="Y711" s="22" t="s">
        <v>32</v>
      </c>
      <c r="Z711" s="78"/>
    </row>
    <row r="712" spans="1:26" s="70" customFormat="1" ht="24.95" customHeight="1">
      <c r="A712" s="80"/>
      <c r="B712" s="147">
        <v>45597</v>
      </c>
      <c r="C712" s="152" t="s">
        <v>35</v>
      </c>
      <c r="D712" s="59" t="s">
        <v>20</v>
      </c>
      <c r="E712" s="14" t="str">
        <f t="shared" si="66"/>
        <v>V6A</v>
      </c>
      <c r="F712" s="111" t="s">
        <v>186</v>
      </c>
      <c r="G712" s="15" t="s">
        <v>27</v>
      </c>
      <c r="H712" s="111">
        <v>1.18</v>
      </c>
      <c r="I712" s="22" t="s">
        <v>187</v>
      </c>
      <c r="J712" s="21" t="s">
        <v>896</v>
      </c>
      <c r="K712" s="21" t="s">
        <v>896</v>
      </c>
      <c r="L712" s="21" t="s">
        <v>1828</v>
      </c>
      <c r="M712" s="150"/>
      <c r="N712" s="23" t="s">
        <v>1829</v>
      </c>
      <c r="O712" s="23" t="s">
        <v>30</v>
      </c>
      <c r="P712" s="45" t="s">
        <v>38</v>
      </c>
      <c r="Q712" s="45">
        <v>5</v>
      </c>
      <c r="R712" s="54">
        <v>45604</v>
      </c>
      <c r="S712" s="54">
        <v>45608</v>
      </c>
      <c r="T712" s="45" t="s">
        <v>19</v>
      </c>
      <c r="U712" s="100">
        <v>5</v>
      </c>
      <c r="V712" s="108">
        <v>0</v>
      </c>
      <c r="W712" s="22" t="s">
        <v>40</v>
      </c>
      <c r="X712" s="22" t="str">
        <f t="shared" si="65"/>
        <v>1HGZ-MA1.18</v>
      </c>
      <c r="Y712" s="22" t="s">
        <v>32</v>
      </c>
      <c r="Z712" s="78"/>
    </row>
    <row r="713" spans="1:26" s="70" customFormat="1" ht="24.95" customHeight="1">
      <c r="A713" s="80"/>
      <c r="B713" s="147">
        <v>45597</v>
      </c>
      <c r="C713" s="152" t="s">
        <v>35</v>
      </c>
      <c r="D713" s="59" t="s">
        <v>20</v>
      </c>
      <c r="E713" s="14" t="str">
        <f t="shared" si="66"/>
        <v>11A</v>
      </c>
      <c r="F713" s="111" t="s">
        <v>151</v>
      </c>
      <c r="G713" s="3" t="s">
        <v>26</v>
      </c>
      <c r="H713" s="111">
        <v>0.9</v>
      </c>
      <c r="I713" s="22" t="s">
        <v>31</v>
      </c>
      <c r="J713" s="21" t="s">
        <v>360</v>
      </c>
      <c r="K713" s="21"/>
      <c r="L713" s="21" t="s">
        <v>1830</v>
      </c>
      <c r="M713" s="150"/>
      <c r="N713" s="23" t="s">
        <v>1831</v>
      </c>
      <c r="O713" s="23" t="s">
        <v>242</v>
      </c>
      <c r="P713" s="45" t="s">
        <v>38</v>
      </c>
      <c r="Q713" s="45">
        <v>10</v>
      </c>
      <c r="R713" s="54">
        <v>45607</v>
      </c>
      <c r="S713" s="54">
        <v>45608</v>
      </c>
      <c r="T713" s="45" t="s">
        <v>19</v>
      </c>
      <c r="U713" s="100">
        <v>10</v>
      </c>
      <c r="V713" s="108">
        <v>0</v>
      </c>
      <c r="W713" s="22" t="s">
        <v>40</v>
      </c>
      <c r="X713" s="22" t="str">
        <f t="shared" si="65"/>
        <v>D1PEW-B-2Y0.9</v>
      </c>
      <c r="Y713" s="22" t="s">
        <v>32</v>
      </c>
      <c r="Z713" s="78"/>
    </row>
    <row r="714" spans="1:26" s="70" customFormat="1" ht="24.95" customHeight="1">
      <c r="A714" s="80"/>
      <c r="B714" s="147">
        <v>45597</v>
      </c>
      <c r="C714" s="152" t="s">
        <v>35</v>
      </c>
      <c r="D714" s="59" t="s">
        <v>20</v>
      </c>
      <c r="E714" s="14" t="str">
        <f t="shared" si="66"/>
        <v>V4A</v>
      </c>
      <c r="F714" s="111" t="s">
        <v>177</v>
      </c>
      <c r="G714" s="3" t="s">
        <v>26</v>
      </c>
      <c r="H714" s="111">
        <v>0.5</v>
      </c>
      <c r="I714" s="22" t="s">
        <v>178</v>
      </c>
      <c r="J714" s="21" t="s">
        <v>158</v>
      </c>
      <c r="K714" s="21" t="s">
        <v>1832</v>
      </c>
      <c r="L714" s="21" t="s">
        <v>1833</v>
      </c>
      <c r="M714" s="150"/>
      <c r="N714" s="23" t="s">
        <v>1834</v>
      </c>
      <c r="O714" s="23" t="s">
        <v>30</v>
      </c>
      <c r="P714" s="45">
        <v>8.9</v>
      </c>
      <c r="Q714" s="45">
        <v>2</v>
      </c>
      <c r="R714" s="54">
        <v>45597</v>
      </c>
      <c r="S714" s="54">
        <v>45603</v>
      </c>
      <c r="T714" s="45" t="s">
        <v>19</v>
      </c>
      <c r="U714" s="100">
        <v>2</v>
      </c>
      <c r="V714" s="108">
        <v>0</v>
      </c>
      <c r="W714" s="22" t="s">
        <v>40</v>
      </c>
      <c r="X714" s="22" t="str">
        <f t="shared" si="65"/>
        <v>D2DSW20.5</v>
      </c>
      <c r="Y714" s="22" t="s">
        <v>32</v>
      </c>
      <c r="Z714" s="78"/>
    </row>
    <row r="715" spans="1:26" s="70" customFormat="1" ht="24.95" customHeight="1">
      <c r="A715" s="80"/>
      <c r="B715" s="147">
        <v>45597</v>
      </c>
      <c r="C715" s="152" t="s">
        <v>35</v>
      </c>
      <c r="D715" s="59" t="s">
        <v>20</v>
      </c>
      <c r="E715" s="14" t="str">
        <f t="shared" si="66"/>
        <v>V6A</v>
      </c>
      <c r="F715" s="111" t="s">
        <v>186</v>
      </c>
      <c r="G715" s="15" t="s">
        <v>27</v>
      </c>
      <c r="H715" s="111">
        <v>1.18</v>
      </c>
      <c r="I715" s="22" t="s">
        <v>187</v>
      </c>
      <c r="J715" s="21" t="s">
        <v>47</v>
      </c>
      <c r="K715" s="21" t="s">
        <v>47</v>
      </c>
      <c r="L715" s="21" t="s">
        <v>1835</v>
      </c>
      <c r="M715" s="150"/>
      <c r="N715" s="23" t="s">
        <v>1836</v>
      </c>
      <c r="O715" s="23" t="s">
        <v>30</v>
      </c>
      <c r="P715" s="45" t="s">
        <v>38</v>
      </c>
      <c r="Q715" s="45">
        <v>5</v>
      </c>
      <c r="R715" s="54">
        <v>45609</v>
      </c>
      <c r="S715" s="54">
        <v>45614</v>
      </c>
      <c r="T715" s="45" t="s">
        <v>19</v>
      </c>
      <c r="U715" s="100">
        <v>5</v>
      </c>
      <c r="V715" s="108">
        <v>0</v>
      </c>
      <c r="W715" s="22" t="s">
        <v>40</v>
      </c>
      <c r="X715" s="22" t="str">
        <f t="shared" si="65"/>
        <v>1HGZ-MA1.18</v>
      </c>
      <c r="Y715" s="22" t="s">
        <v>32</v>
      </c>
      <c r="Z715" s="78"/>
    </row>
    <row r="716" spans="1:26" s="70" customFormat="1" ht="24.95" customHeight="1">
      <c r="A716" s="80"/>
      <c r="B716" s="147">
        <v>45597</v>
      </c>
      <c r="C716" s="152" t="s">
        <v>35</v>
      </c>
      <c r="D716" s="59" t="s">
        <v>20</v>
      </c>
      <c r="E716" s="14" t="str">
        <f t="shared" si="66"/>
        <v>11A</v>
      </c>
      <c r="F716" s="111" t="s">
        <v>151</v>
      </c>
      <c r="G716" s="15" t="s">
        <v>27</v>
      </c>
      <c r="H716" s="111">
        <v>0.9</v>
      </c>
      <c r="I716" s="22" t="s">
        <v>31</v>
      </c>
      <c r="J716" s="21" t="s">
        <v>1837</v>
      </c>
      <c r="K716" s="21" t="s">
        <v>1838</v>
      </c>
      <c r="L716" s="21" t="s">
        <v>788</v>
      </c>
      <c r="M716" s="150"/>
      <c r="N716" s="23" t="s">
        <v>1839</v>
      </c>
      <c r="O716" s="23" t="s">
        <v>39</v>
      </c>
      <c r="P716" s="45">
        <v>3</v>
      </c>
      <c r="Q716" s="45">
        <v>1</v>
      </c>
      <c r="R716" s="54">
        <v>45601</v>
      </c>
      <c r="S716" s="54">
        <v>45608</v>
      </c>
      <c r="T716" s="45" t="s">
        <v>19</v>
      </c>
      <c r="U716" s="100">
        <v>1</v>
      </c>
      <c r="V716" s="108">
        <v>0</v>
      </c>
      <c r="W716" s="22" t="s">
        <v>40</v>
      </c>
      <c r="X716" s="22" t="str">
        <f t="shared" si="65"/>
        <v>D1PEW-B-2Y0.9</v>
      </c>
      <c r="Y716" s="22" t="s">
        <v>32</v>
      </c>
      <c r="Z716" s="78"/>
    </row>
    <row r="717" spans="1:26" s="70" customFormat="1" ht="24.95" customHeight="1">
      <c r="A717" s="80"/>
      <c r="B717" s="147">
        <v>45597</v>
      </c>
      <c r="C717" s="152" t="s">
        <v>35</v>
      </c>
      <c r="D717" s="59" t="s">
        <v>20</v>
      </c>
      <c r="E717" s="14" t="str">
        <f t="shared" si="66"/>
        <v>11A</v>
      </c>
      <c r="F717" s="111" t="s">
        <v>151</v>
      </c>
      <c r="G717" s="15" t="s">
        <v>27</v>
      </c>
      <c r="H717" s="111">
        <v>0.9</v>
      </c>
      <c r="I717" s="22" t="s">
        <v>31</v>
      </c>
      <c r="J717" s="21" t="s">
        <v>47</v>
      </c>
      <c r="K717" s="21" t="s">
        <v>831</v>
      </c>
      <c r="L717" s="21" t="s">
        <v>60</v>
      </c>
      <c r="M717" s="150"/>
      <c r="N717" s="23" t="s">
        <v>1840</v>
      </c>
      <c r="O717" s="23" t="s">
        <v>29</v>
      </c>
      <c r="P717" s="45">
        <v>4</v>
      </c>
      <c r="Q717" s="45">
        <v>1</v>
      </c>
      <c r="R717" s="54">
        <v>45599</v>
      </c>
      <c r="S717" s="54">
        <v>45614</v>
      </c>
      <c r="T717" s="45" t="s">
        <v>19</v>
      </c>
      <c r="U717" s="100">
        <v>1</v>
      </c>
      <c r="V717" s="108">
        <v>0</v>
      </c>
      <c r="W717" s="22" t="s">
        <v>40</v>
      </c>
      <c r="X717" s="22" t="str">
        <f t="shared" si="65"/>
        <v>D1PEW-B-2Y0.9</v>
      </c>
      <c r="Y717" s="22" t="s">
        <v>32</v>
      </c>
      <c r="Z717" s="78"/>
    </row>
    <row r="718" spans="1:26" s="70" customFormat="1" ht="24.95" customHeight="1">
      <c r="A718" s="80"/>
      <c r="B718" s="147">
        <v>45597</v>
      </c>
      <c r="C718" s="152" t="s">
        <v>35</v>
      </c>
      <c r="D718" s="59" t="s">
        <v>20</v>
      </c>
      <c r="E718" s="14" t="str">
        <f t="shared" si="66"/>
        <v>11A</v>
      </c>
      <c r="F718" s="111" t="s">
        <v>251</v>
      </c>
      <c r="G718" s="15" t="s">
        <v>27</v>
      </c>
      <c r="H718" s="111">
        <v>0.83</v>
      </c>
      <c r="I718" s="22" t="s">
        <v>252</v>
      </c>
      <c r="J718" s="21" t="s">
        <v>47</v>
      </c>
      <c r="K718" s="21" t="s">
        <v>47</v>
      </c>
      <c r="L718" s="21" t="s">
        <v>1841</v>
      </c>
      <c r="M718" s="150"/>
      <c r="N718" s="23" t="s">
        <v>1842</v>
      </c>
      <c r="O718" s="23" t="s">
        <v>263</v>
      </c>
      <c r="P718" s="45">
        <v>4</v>
      </c>
      <c r="Q718" s="45">
        <v>1</v>
      </c>
      <c r="R718" s="54">
        <v>45609</v>
      </c>
      <c r="S718" s="54">
        <v>45614</v>
      </c>
      <c r="T718" s="45" t="s">
        <v>19</v>
      </c>
      <c r="U718" s="100">
        <v>1</v>
      </c>
      <c r="V718" s="108">
        <v>0</v>
      </c>
      <c r="W718" s="22" t="s">
        <v>40</v>
      </c>
      <c r="X718" s="22" t="str">
        <f t="shared" si="65"/>
        <v>D2-IDW-4E0.83</v>
      </c>
      <c r="Y718" s="22" t="s">
        <v>32</v>
      </c>
      <c r="Z718" s="78"/>
    </row>
    <row r="719" spans="1:26" s="70" customFormat="1" ht="24.95" customHeight="1">
      <c r="A719" s="80"/>
      <c r="B719" s="147">
        <v>45597</v>
      </c>
      <c r="C719" s="152" t="s">
        <v>35</v>
      </c>
      <c r="D719" s="59" t="s">
        <v>20</v>
      </c>
      <c r="E719" s="14" t="str">
        <f t="shared" si="66"/>
        <v>11B</v>
      </c>
      <c r="F719" s="111" t="s">
        <v>42</v>
      </c>
      <c r="G719" s="3" t="s">
        <v>26</v>
      </c>
      <c r="H719" s="111">
        <v>0.75</v>
      </c>
      <c r="I719" s="22" t="s">
        <v>43</v>
      </c>
      <c r="J719" s="21" t="s">
        <v>1843</v>
      </c>
      <c r="K719" s="21"/>
      <c r="L719" s="21" t="s">
        <v>60</v>
      </c>
      <c r="M719" s="150"/>
      <c r="N719" s="23" t="s">
        <v>1844</v>
      </c>
      <c r="O719" s="23" t="s">
        <v>195</v>
      </c>
      <c r="P719" s="45">
        <v>2</v>
      </c>
      <c r="Q719" s="45">
        <v>1</v>
      </c>
      <c r="R719" s="54">
        <v>45601</v>
      </c>
      <c r="S719" s="54">
        <v>45614</v>
      </c>
      <c r="T719" s="45" t="s">
        <v>19</v>
      </c>
      <c r="U719" s="100">
        <v>1</v>
      </c>
      <c r="V719" s="108">
        <v>0</v>
      </c>
      <c r="W719" s="22" t="s">
        <v>40</v>
      </c>
      <c r="X719" s="22" t="str">
        <f t="shared" si="65"/>
        <v>D1-PEW-B-2Y0.75</v>
      </c>
      <c r="Y719" s="22" t="s">
        <v>32</v>
      </c>
      <c r="Z719" s="78"/>
    </row>
    <row r="720" spans="1:26" s="70" customFormat="1" ht="24.95" customHeight="1">
      <c r="A720" s="80"/>
      <c r="B720" s="147">
        <v>45597</v>
      </c>
      <c r="C720" s="152" t="s">
        <v>35</v>
      </c>
      <c r="D720" s="59" t="s">
        <v>20</v>
      </c>
      <c r="E720" s="14" t="str">
        <f t="shared" si="66"/>
        <v>V9A</v>
      </c>
      <c r="F720" s="111" t="s">
        <v>23</v>
      </c>
      <c r="G720" s="15" t="s">
        <v>27</v>
      </c>
      <c r="H720" s="111">
        <v>0.95</v>
      </c>
      <c r="I720" s="22" t="s">
        <v>25</v>
      </c>
      <c r="J720" s="21" t="s">
        <v>1845</v>
      </c>
      <c r="K720" s="21" t="s">
        <v>1846</v>
      </c>
      <c r="L720" s="21" t="s">
        <v>1847</v>
      </c>
      <c r="M720" s="150"/>
      <c r="N720" s="23" t="s">
        <v>1848</v>
      </c>
      <c r="O720" s="23" t="s">
        <v>39</v>
      </c>
      <c r="P720" s="45" t="s">
        <v>349</v>
      </c>
      <c r="Q720" s="45">
        <v>7</v>
      </c>
      <c r="R720" s="54">
        <v>45602</v>
      </c>
      <c r="S720" s="54">
        <v>45614</v>
      </c>
      <c r="T720" s="45" t="s">
        <v>19</v>
      </c>
      <c r="U720" s="100">
        <v>7</v>
      </c>
      <c r="V720" s="108">
        <v>0</v>
      </c>
      <c r="W720" s="22" t="s">
        <v>40</v>
      </c>
      <c r="X720" s="22" t="str">
        <f t="shared" si="65"/>
        <v>0FBWSHC0.95</v>
      </c>
      <c r="Y720" s="22" t="s">
        <v>32</v>
      </c>
      <c r="Z720" s="78"/>
    </row>
    <row r="721" spans="1:26" s="70" customFormat="1" ht="24.95" customHeight="1">
      <c r="A721" s="80"/>
      <c r="B721" s="147">
        <v>45597</v>
      </c>
      <c r="C721" s="152" t="s">
        <v>35</v>
      </c>
      <c r="D721" s="59" t="s">
        <v>20</v>
      </c>
      <c r="E721" s="14" t="str">
        <f t="shared" si="66"/>
        <v>V8C</v>
      </c>
      <c r="F721" s="111" t="s">
        <v>24</v>
      </c>
      <c r="G721" s="15" t="s">
        <v>27</v>
      </c>
      <c r="H721" s="111">
        <v>0.77</v>
      </c>
      <c r="I721" s="22" t="s">
        <v>206</v>
      </c>
      <c r="J721" s="21" t="s">
        <v>1849</v>
      </c>
      <c r="K721" s="21" t="s">
        <v>1850</v>
      </c>
      <c r="L721" s="21" t="s">
        <v>1851</v>
      </c>
      <c r="M721" s="150"/>
      <c r="N721" s="23" t="s">
        <v>1852</v>
      </c>
      <c r="O721" s="23" t="s">
        <v>30</v>
      </c>
      <c r="P721" s="45" t="s">
        <v>542</v>
      </c>
      <c r="Q721" s="45">
        <v>3</v>
      </c>
      <c r="R721" s="54">
        <v>45602</v>
      </c>
      <c r="S721" s="54">
        <v>45614</v>
      </c>
      <c r="T721" s="45" t="s">
        <v>19</v>
      </c>
      <c r="U721" s="134">
        <v>3</v>
      </c>
      <c r="V721" s="108">
        <v>0</v>
      </c>
      <c r="W721" s="22" t="s">
        <v>40</v>
      </c>
      <c r="X721" s="22" t="str">
        <f t="shared" si="65"/>
        <v>2PEW0.77</v>
      </c>
      <c r="Y721" s="22" t="s">
        <v>32</v>
      </c>
      <c r="Z721" s="78"/>
    </row>
    <row r="722" spans="1:26" s="70" customFormat="1" ht="24.95" customHeight="1">
      <c r="A722" s="80"/>
      <c r="B722" s="147">
        <v>45597</v>
      </c>
      <c r="C722" s="152" t="s">
        <v>35</v>
      </c>
      <c r="D722" s="59" t="s">
        <v>20</v>
      </c>
      <c r="E722" s="14" t="str">
        <f t="shared" si="66"/>
        <v>12A</v>
      </c>
      <c r="F722" s="111" t="s">
        <v>165</v>
      </c>
      <c r="G722" s="3" t="s">
        <v>26</v>
      </c>
      <c r="H722" s="111">
        <v>1.81</v>
      </c>
      <c r="I722" s="22" t="s">
        <v>329</v>
      </c>
      <c r="J722" s="21" t="s">
        <v>1853</v>
      </c>
      <c r="K722" s="21" t="s">
        <v>1853</v>
      </c>
      <c r="L722" s="55" t="s">
        <v>1854</v>
      </c>
      <c r="M722" s="150"/>
      <c r="N722" s="23" t="s">
        <v>1855</v>
      </c>
      <c r="O722" s="23" t="s">
        <v>30</v>
      </c>
      <c r="P722" s="45">
        <v>2</v>
      </c>
      <c r="Q722" s="45">
        <v>1</v>
      </c>
      <c r="R722" s="54">
        <v>45598</v>
      </c>
      <c r="S722" s="54">
        <v>45614</v>
      </c>
      <c r="T722" s="45" t="s">
        <v>19</v>
      </c>
      <c r="U722" s="100">
        <v>1</v>
      </c>
      <c r="V722" s="108">
        <v>0</v>
      </c>
      <c r="W722" s="22" t="s">
        <v>40</v>
      </c>
      <c r="X722" s="22" t="str">
        <f t="shared" si="65"/>
        <v>2EIWAD-O1.81</v>
      </c>
      <c r="Y722" s="22" t="s">
        <v>32</v>
      </c>
      <c r="Z722" s="78"/>
    </row>
    <row r="723" spans="1:26" s="70" customFormat="1" ht="25.5" customHeight="1">
      <c r="A723" s="80"/>
      <c r="B723" s="147">
        <v>45597</v>
      </c>
      <c r="C723" s="152" t="s">
        <v>35</v>
      </c>
      <c r="D723" s="59" t="s">
        <v>20</v>
      </c>
      <c r="E723" s="14" t="str">
        <f t="shared" si="66"/>
        <v>V9A</v>
      </c>
      <c r="F723" s="111" t="s">
        <v>151</v>
      </c>
      <c r="G723" s="15" t="s">
        <v>27</v>
      </c>
      <c r="H723" s="111">
        <v>0.9</v>
      </c>
      <c r="I723" s="22" t="s">
        <v>31</v>
      </c>
      <c r="J723" s="21" t="s">
        <v>1871</v>
      </c>
      <c r="K723" s="21" t="s">
        <v>831</v>
      </c>
      <c r="L723" s="55" t="s">
        <v>60</v>
      </c>
      <c r="M723" s="150"/>
      <c r="N723" s="23" t="s">
        <v>1872</v>
      </c>
      <c r="O723" s="23" t="s">
        <v>30</v>
      </c>
      <c r="P723" s="45" t="s">
        <v>367</v>
      </c>
      <c r="Q723" s="45">
        <v>9</v>
      </c>
      <c r="R723" s="54">
        <v>45613</v>
      </c>
      <c r="S723" s="54">
        <v>45617</v>
      </c>
      <c r="T723" s="45" t="s">
        <v>19</v>
      </c>
      <c r="U723" s="100">
        <v>9</v>
      </c>
      <c r="V723" s="108">
        <v>0</v>
      </c>
      <c r="W723" s="22" t="s">
        <v>40</v>
      </c>
      <c r="X723" s="22" t="str">
        <f t="shared" si="65"/>
        <v>D1PEW-B-2Y0.9</v>
      </c>
      <c r="Y723" s="22" t="s">
        <v>32</v>
      </c>
      <c r="Z723" s="78"/>
    </row>
    <row r="724" spans="1:26" s="70" customFormat="1" ht="24.95" customHeight="1">
      <c r="A724" s="80"/>
      <c r="B724" s="147">
        <v>45597</v>
      </c>
      <c r="C724" s="152" t="s">
        <v>35</v>
      </c>
      <c r="D724" s="59" t="s">
        <v>20</v>
      </c>
      <c r="E724" s="14" t="str">
        <f t="shared" si="66"/>
        <v>V9A</v>
      </c>
      <c r="F724" s="111" t="s">
        <v>151</v>
      </c>
      <c r="G724" s="15" t="s">
        <v>27</v>
      </c>
      <c r="H724" s="111">
        <v>0.9</v>
      </c>
      <c r="I724" s="22" t="s">
        <v>31</v>
      </c>
      <c r="J724" s="21" t="s">
        <v>1873</v>
      </c>
      <c r="K724" s="21" t="s">
        <v>831</v>
      </c>
      <c r="L724" s="55"/>
      <c r="M724" s="150"/>
      <c r="N724" s="23" t="s">
        <v>1874</v>
      </c>
      <c r="O724" s="23" t="s">
        <v>30</v>
      </c>
      <c r="P724" s="45" t="s">
        <v>367</v>
      </c>
      <c r="Q724" s="45">
        <v>9</v>
      </c>
      <c r="R724" s="54">
        <v>45615</v>
      </c>
      <c r="S724" s="54">
        <v>45617</v>
      </c>
      <c r="T724" s="45" t="s">
        <v>19</v>
      </c>
      <c r="U724" s="100">
        <v>9</v>
      </c>
      <c r="V724" s="108">
        <v>0</v>
      </c>
      <c r="W724" s="22" t="s">
        <v>40</v>
      </c>
      <c r="X724" s="22" t="str">
        <f t="shared" si="65"/>
        <v>D1PEW-B-2Y0.9</v>
      </c>
      <c r="Y724" s="22" t="s">
        <v>32</v>
      </c>
      <c r="Z724" s="78"/>
    </row>
    <row r="725" spans="1:26" s="70" customFormat="1" ht="24.95" customHeight="1">
      <c r="A725" s="80"/>
      <c r="B725" s="147">
        <v>45597</v>
      </c>
      <c r="C725" s="152" t="s">
        <v>35</v>
      </c>
      <c r="D725" s="59" t="s">
        <v>20</v>
      </c>
      <c r="E725" s="14" t="str">
        <f t="shared" si="66"/>
        <v>V8A</v>
      </c>
      <c r="F725" s="111" t="s">
        <v>529</v>
      </c>
      <c r="G725" s="3" t="s">
        <v>26</v>
      </c>
      <c r="H725" s="111">
        <v>1.7</v>
      </c>
      <c r="I725" s="22" t="s">
        <v>530</v>
      </c>
      <c r="J725" s="21" t="s">
        <v>44</v>
      </c>
      <c r="K725" s="21"/>
      <c r="L725" s="55" t="s">
        <v>46</v>
      </c>
      <c r="M725" s="150"/>
      <c r="N725" s="23" t="s">
        <v>1875</v>
      </c>
      <c r="O725" s="23" t="s">
        <v>30</v>
      </c>
      <c r="P725" s="45">
        <v>1</v>
      </c>
      <c r="Q725" s="45">
        <v>1</v>
      </c>
      <c r="R725" s="54">
        <v>45610</v>
      </c>
      <c r="S725" s="54">
        <v>45617</v>
      </c>
      <c r="T725" s="45" t="s">
        <v>19</v>
      </c>
      <c r="U725" s="100">
        <v>1</v>
      </c>
      <c r="V725" s="108">
        <v>0</v>
      </c>
      <c r="W725" s="22" t="s">
        <v>40</v>
      </c>
      <c r="X725" s="22" t="str">
        <f t="shared" si="65"/>
        <v>1PEW1.7</v>
      </c>
      <c r="Y725" s="22" t="s">
        <v>32</v>
      </c>
      <c r="Z725" s="78"/>
    </row>
    <row r="726" spans="1:26" s="70" customFormat="1" ht="24.95" customHeight="1">
      <c r="A726" s="80"/>
      <c r="B726" s="147">
        <v>45597</v>
      </c>
      <c r="C726" s="152" t="s">
        <v>35</v>
      </c>
      <c r="D726" s="59" t="s">
        <v>20</v>
      </c>
      <c r="E726" s="14" t="str">
        <f t="shared" si="66"/>
        <v>V8A</v>
      </c>
      <c r="F726" s="111" t="s">
        <v>529</v>
      </c>
      <c r="G726" s="3" t="s">
        <v>26</v>
      </c>
      <c r="H726" s="111">
        <v>1.7</v>
      </c>
      <c r="I726" s="22" t="s">
        <v>530</v>
      </c>
      <c r="J726" s="21" t="s">
        <v>44</v>
      </c>
      <c r="K726" s="21"/>
      <c r="L726" s="55"/>
      <c r="M726" s="150"/>
      <c r="N726" s="23" t="s">
        <v>1876</v>
      </c>
      <c r="O726" s="23" t="s">
        <v>1877</v>
      </c>
      <c r="P726" s="45">
        <v>1</v>
      </c>
      <c r="Q726" s="45">
        <v>5</v>
      </c>
      <c r="R726" s="54">
        <v>45615</v>
      </c>
      <c r="S726" s="54">
        <v>45617</v>
      </c>
      <c r="T726" s="45" t="s">
        <v>19</v>
      </c>
      <c r="U726" s="100">
        <v>5</v>
      </c>
      <c r="V726" s="108">
        <v>0</v>
      </c>
      <c r="W726" s="22" t="s">
        <v>40</v>
      </c>
      <c r="X726" s="22" t="str">
        <f t="shared" si="65"/>
        <v>1PEW1.7</v>
      </c>
      <c r="Y726" s="22" t="s">
        <v>32</v>
      </c>
      <c r="Z726" s="78"/>
    </row>
    <row r="727" spans="1:26" s="70" customFormat="1" ht="24.95" customHeight="1">
      <c r="A727" s="80"/>
      <c r="B727" s="147">
        <v>45597</v>
      </c>
      <c r="C727" s="152" t="s">
        <v>35</v>
      </c>
      <c r="D727" s="59" t="s">
        <v>20</v>
      </c>
      <c r="E727" s="14" t="str">
        <f t="shared" si="66"/>
        <v>11B</v>
      </c>
      <c r="F727" s="111" t="s">
        <v>42</v>
      </c>
      <c r="G727" s="15" t="s">
        <v>27</v>
      </c>
      <c r="H727" s="111">
        <v>0.75</v>
      </c>
      <c r="I727" s="22" t="s">
        <v>43</v>
      </c>
      <c r="J727" s="21" t="s">
        <v>47</v>
      </c>
      <c r="K727" s="21" t="s">
        <v>47</v>
      </c>
      <c r="L727" s="55" t="s">
        <v>60</v>
      </c>
      <c r="M727" s="150"/>
      <c r="N727" s="23" t="s">
        <v>1823</v>
      </c>
      <c r="O727" s="23" t="s">
        <v>30</v>
      </c>
      <c r="P727" s="45">
        <v>2</v>
      </c>
      <c r="Q727" s="45">
        <v>1</v>
      </c>
      <c r="R727" s="54">
        <v>45605</v>
      </c>
      <c r="S727" s="54">
        <v>45616</v>
      </c>
      <c r="T727" s="45" t="s">
        <v>19</v>
      </c>
      <c r="U727" s="100">
        <v>1</v>
      </c>
      <c r="V727" s="108">
        <v>0</v>
      </c>
      <c r="W727" s="22" t="s">
        <v>40</v>
      </c>
      <c r="X727" s="22" t="str">
        <f t="shared" si="65"/>
        <v>D1-PEW-B-2Y0.75</v>
      </c>
      <c r="Y727" s="22" t="s">
        <v>32</v>
      </c>
      <c r="Z727" s="78"/>
    </row>
    <row r="728" spans="1:26" s="70" customFormat="1" ht="24.95" customHeight="1">
      <c r="A728" s="80"/>
      <c r="B728" s="147">
        <v>45597</v>
      </c>
      <c r="C728" s="155" t="s">
        <v>35</v>
      </c>
      <c r="D728" s="59" t="s">
        <v>20</v>
      </c>
      <c r="E728" s="14" t="str">
        <f t="shared" si="66"/>
        <v>11B</v>
      </c>
      <c r="F728" s="111" t="s">
        <v>42</v>
      </c>
      <c r="G728" s="15" t="s">
        <v>27</v>
      </c>
      <c r="H728" s="111">
        <v>0.75</v>
      </c>
      <c r="I728" s="22" t="s">
        <v>43</v>
      </c>
      <c r="J728" s="21" t="s">
        <v>47</v>
      </c>
      <c r="K728" s="21" t="s">
        <v>47</v>
      </c>
      <c r="L728" s="55" t="s">
        <v>60</v>
      </c>
      <c r="M728" s="150"/>
      <c r="N728" s="23" t="s">
        <v>1878</v>
      </c>
      <c r="O728" s="23" t="s">
        <v>30</v>
      </c>
      <c r="P728" s="45">
        <v>2</v>
      </c>
      <c r="Q728" s="45">
        <v>1</v>
      </c>
      <c r="R728" s="54">
        <v>45598</v>
      </c>
      <c r="S728" s="54">
        <v>1121</v>
      </c>
      <c r="T728" s="45" t="s">
        <v>19</v>
      </c>
      <c r="U728" s="100">
        <v>1</v>
      </c>
      <c r="V728" s="108">
        <v>0</v>
      </c>
      <c r="W728" s="22" t="s">
        <v>40</v>
      </c>
      <c r="X728" s="22" t="str">
        <f t="shared" si="65"/>
        <v>D1-PEW-B-2Y0.75</v>
      </c>
      <c r="Y728" s="22" t="s">
        <v>32</v>
      </c>
      <c r="Z728" s="78"/>
    </row>
    <row r="729" spans="1:26" s="70" customFormat="1" ht="24.95" customHeight="1">
      <c r="A729" s="80"/>
      <c r="B729" s="147">
        <v>45597</v>
      </c>
      <c r="C729" s="155" t="s">
        <v>35</v>
      </c>
      <c r="D729" s="59" t="s">
        <v>20</v>
      </c>
      <c r="E729" s="14" t="str">
        <f t="shared" si="66"/>
        <v>V4B</v>
      </c>
      <c r="F729" s="111" t="s">
        <v>200</v>
      </c>
      <c r="G729" s="3" t="s">
        <v>26</v>
      </c>
      <c r="H729" s="111">
        <v>0.4</v>
      </c>
      <c r="I729" s="22" t="s">
        <v>31</v>
      </c>
      <c r="J729" s="21" t="s">
        <v>53</v>
      </c>
      <c r="K729" s="21"/>
      <c r="L729" s="55" t="s">
        <v>189</v>
      </c>
      <c r="M729" s="150"/>
      <c r="N729" s="23" t="s">
        <v>1879</v>
      </c>
      <c r="O729" s="23" t="s">
        <v>382</v>
      </c>
      <c r="P729" s="23" t="s">
        <v>1880</v>
      </c>
      <c r="Q729" s="45">
        <v>2</v>
      </c>
      <c r="R729" s="54">
        <v>45615</v>
      </c>
      <c r="S729" s="54">
        <v>45618</v>
      </c>
      <c r="T729" s="45" t="s">
        <v>19</v>
      </c>
      <c r="U729" s="100">
        <v>2</v>
      </c>
      <c r="V729" s="108">
        <v>0</v>
      </c>
      <c r="W729" s="22" t="s">
        <v>40</v>
      </c>
      <c r="X729" s="22" t="str">
        <f t="shared" si="65"/>
        <v>D2IDW-4-B-20.4</v>
      </c>
      <c r="Y729" s="22" t="s">
        <v>32</v>
      </c>
      <c r="Z729" s="78"/>
    </row>
    <row r="730" spans="1:26" s="70" customFormat="1" ht="24.95" customHeight="1">
      <c r="A730" s="80"/>
      <c r="B730" s="147">
        <v>45597</v>
      </c>
      <c r="C730" s="155" t="s">
        <v>35</v>
      </c>
      <c r="D730" s="59" t="s">
        <v>20</v>
      </c>
      <c r="E730" s="14" t="str">
        <f t="shared" si="66"/>
        <v>VOB</v>
      </c>
      <c r="F730" s="111" t="s">
        <v>259</v>
      </c>
      <c r="G730" s="3" t="s">
        <v>26</v>
      </c>
      <c r="H730" s="111">
        <v>0.6</v>
      </c>
      <c r="I730" s="22" t="s">
        <v>31</v>
      </c>
      <c r="J730" s="21" t="s">
        <v>287</v>
      </c>
      <c r="K730" s="21"/>
      <c r="L730" s="55"/>
      <c r="M730" s="150"/>
      <c r="N730" s="23" t="s">
        <v>1881</v>
      </c>
      <c r="O730" s="23" t="s">
        <v>39</v>
      </c>
      <c r="P730" s="45">
        <v>5</v>
      </c>
      <c r="Q730" s="45">
        <v>1</v>
      </c>
      <c r="R730" s="54">
        <v>45617</v>
      </c>
      <c r="S730" s="54">
        <v>45624</v>
      </c>
      <c r="T730" s="45" t="s">
        <v>19</v>
      </c>
      <c r="U730" s="100">
        <v>1</v>
      </c>
      <c r="V730" s="108">
        <v>0</v>
      </c>
      <c r="W730" s="22" t="s">
        <v>40</v>
      </c>
      <c r="X730" s="22" t="str">
        <f t="shared" si="65"/>
        <v>D1-PEW-B-2T0.6</v>
      </c>
      <c r="Y730" s="22" t="s">
        <v>32</v>
      </c>
      <c r="Z730" s="78"/>
    </row>
    <row r="731" spans="1:26" s="70" customFormat="1" ht="24.95" customHeight="1">
      <c r="A731" s="80"/>
      <c r="B731" s="147">
        <v>45597</v>
      </c>
      <c r="C731" s="155" t="s">
        <v>35</v>
      </c>
      <c r="D731" s="59" t="s">
        <v>20</v>
      </c>
      <c r="E731" s="14" t="str">
        <f t="shared" si="66"/>
        <v>V4B</v>
      </c>
      <c r="F731" s="111" t="s">
        <v>200</v>
      </c>
      <c r="G731" s="3" t="s">
        <v>26</v>
      </c>
      <c r="H731" s="111">
        <v>0.4</v>
      </c>
      <c r="I731" s="22" t="s">
        <v>31</v>
      </c>
      <c r="J731" s="21" t="s">
        <v>53</v>
      </c>
      <c r="K731" s="21"/>
      <c r="L731" s="55" t="s">
        <v>879</v>
      </c>
      <c r="M731" s="150"/>
      <c r="N731" s="23" t="s">
        <v>1882</v>
      </c>
      <c r="O731" s="23" t="s">
        <v>30</v>
      </c>
      <c r="P731" s="45">
        <v>7</v>
      </c>
      <c r="Q731" s="45">
        <v>1</v>
      </c>
      <c r="R731" s="54">
        <v>45614</v>
      </c>
      <c r="S731" s="54">
        <v>45616</v>
      </c>
      <c r="T731" s="45" t="s">
        <v>19</v>
      </c>
      <c r="U731" s="100">
        <v>1</v>
      </c>
      <c r="V731" s="108">
        <v>0</v>
      </c>
      <c r="W731" s="22" t="s">
        <v>40</v>
      </c>
      <c r="X731" s="22" t="str">
        <f t="shared" si="65"/>
        <v>D2IDW-4-B-20.4</v>
      </c>
      <c r="Y731" s="22" t="s">
        <v>32</v>
      </c>
      <c r="Z731" s="78"/>
    </row>
    <row r="732" spans="1:26" s="70" customFormat="1" ht="24.95" customHeight="1">
      <c r="A732" s="80"/>
      <c r="B732" s="147">
        <v>45597</v>
      </c>
      <c r="C732" s="155" t="s">
        <v>35</v>
      </c>
      <c r="D732" s="59" t="s">
        <v>20</v>
      </c>
      <c r="E732" s="14" t="str">
        <f t="shared" si="66"/>
        <v>V4B</v>
      </c>
      <c r="F732" s="111" t="s">
        <v>200</v>
      </c>
      <c r="G732" s="3" t="s">
        <v>26</v>
      </c>
      <c r="H732" s="111">
        <v>0.4</v>
      </c>
      <c r="I732" s="22" t="s">
        <v>31</v>
      </c>
      <c r="J732" s="21" t="s">
        <v>53</v>
      </c>
      <c r="K732" s="21"/>
      <c r="L732" s="55"/>
      <c r="M732" s="150"/>
      <c r="N732" s="23" t="s">
        <v>1883</v>
      </c>
      <c r="O732" s="23" t="s">
        <v>29</v>
      </c>
      <c r="P732" s="45">
        <v>7</v>
      </c>
      <c r="Q732" s="45">
        <v>1</v>
      </c>
      <c r="R732" s="54">
        <v>45615</v>
      </c>
      <c r="S732" s="54">
        <v>45616</v>
      </c>
      <c r="T732" s="45" t="s">
        <v>19</v>
      </c>
      <c r="U732" s="100">
        <v>1</v>
      </c>
      <c r="V732" s="108">
        <v>0</v>
      </c>
      <c r="W732" s="22" t="s">
        <v>40</v>
      </c>
      <c r="X732" s="22" t="str">
        <f t="shared" si="65"/>
        <v>D2IDW-4-B-20.4</v>
      </c>
      <c r="Y732" s="22" t="s">
        <v>32</v>
      </c>
      <c r="Z732" s="78"/>
    </row>
    <row r="733" spans="1:26" s="70" customFormat="1" ht="24.95" customHeight="1">
      <c r="A733" s="80"/>
      <c r="B733" s="147">
        <v>45597</v>
      </c>
      <c r="C733" s="155" t="s">
        <v>35</v>
      </c>
      <c r="D733" s="59" t="s">
        <v>20</v>
      </c>
      <c r="E733" s="14" t="str">
        <f t="shared" si="66"/>
        <v>V8A</v>
      </c>
      <c r="F733" s="111" t="s">
        <v>529</v>
      </c>
      <c r="G733" s="3" t="s">
        <v>26</v>
      </c>
      <c r="H733" s="111">
        <v>1.5</v>
      </c>
      <c r="I733" s="22" t="s">
        <v>530</v>
      </c>
      <c r="J733" s="21" t="s">
        <v>44</v>
      </c>
      <c r="K733" s="21"/>
      <c r="L733" s="55"/>
      <c r="M733" s="150"/>
      <c r="N733" s="23" t="s">
        <v>1884</v>
      </c>
      <c r="O733" s="23" t="s">
        <v>1885</v>
      </c>
      <c r="P733" s="45">
        <v>1</v>
      </c>
      <c r="Q733" s="45">
        <v>1</v>
      </c>
      <c r="R733" s="54">
        <v>45603</v>
      </c>
      <c r="S733" s="54">
        <v>45625</v>
      </c>
      <c r="T733" s="45" t="s">
        <v>19</v>
      </c>
      <c r="U733" s="100">
        <v>1</v>
      </c>
      <c r="V733" s="108">
        <v>0</v>
      </c>
      <c r="W733" s="22" t="s">
        <v>40</v>
      </c>
      <c r="X733" s="22" t="str">
        <f t="shared" si="65"/>
        <v>1PEW1.5</v>
      </c>
      <c r="Y733" s="22" t="s">
        <v>32</v>
      </c>
      <c r="Z733" s="78"/>
    </row>
    <row r="734" spans="1:26" s="70" customFormat="1" ht="24.95" customHeight="1">
      <c r="A734" s="80"/>
      <c r="B734" s="147">
        <v>45597</v>
      </c>
      <c r="C734" s="155" t="s">
        <v>35</v>
      </c>
      <c r="D734" s="59" t="s">
        <v>20</v>
      </c>
      <c r="E734" s="14" t="str">
        <f t="shared" si="66"/>
        <v>V4B</v>
      </c>
      <c r="F734" s="111" t="s">
        <v>200</v>
      </c>
      <c r="G734" s="3" t="s">
        <v>26</v>
      </c>
      <c r="H734" s="111">
        <v>0.4</v>
      </c>
      <c r="I734" s="22" t="s">
        <v>31</v>
      </c>
      <c r="J734" s="21" t="s">
        <v>1886</v>
      </c>
      <c r="K734" s="21"/>
      <c r="L734" s="55" t="s">
        <v>208</v>
      </c>
      <c r="M734" s="150"/>
      <c r="N734" s="23" t="s">
        <v>1887</v>
      </c>
      <c r="O734" s="23" t="s">
        <v>30</v>
      </c>
      <c r="P734" s="45">
        <v>7</v>
      </c>
      <c r="Q734" s="45">
        <v>1</v>
      </c>
      <c r="R734" s="54">
        <v>45616</v>
      </c>
      <c r="S734" s="54">
        <v>45624</v>
      </c>
      <c r="T734" s="45" t="s">
        <v>19</v>
      </c>
      <c r="U734" s="100">
        <v>1</v>
      </c>
      <c r="V734" s="108">
        <v>0</v>
      </c>
      <c r="W734" s="22" t="s">
        <v>40</v>
      </c>
      <c r="X734" s="22" t="str">
        <f t="shared" si="65"/>
        <v>D2IDW-4-B-20.4</v>
      </c>
      <c r="Y734" s="22" t="s">
        <v>32</v>
      </c>
      <c r="Z734" s="78"/>
    </row>
    <row r="735" spans="1:26" s="70" customFormat="1" ht="24.95" customHeight="1">
      <c r="A735" s="80"/>
      <c r="B735" s="147">
        <v>45597</v>
      </c>
      <c r="C735" s="155" t="s">
        <v>35</v>
      </c>
      <c r="D735" s="59" t="s">
        <v>20</v>
      </c>
      <c r="E735" s="14" t="str">
        <f t="shared" si="66"/>
        <v>VOB</v>
      </c>
      <c r="F735" s="111" t="s">
        <v>259</v>
      </c>
      <c r="G735" s="3" t="s">
        <v>26</v>
      </c>
      <c r="H735" s="111">
        <v>0.6</v>
      </c>
      <c r="I735" s="22" t="s">
        <v>31</v>
      </c>
      <c r="J735" s="21" t="s">
        <v>763</v>
      </c>
      <c r="K735" s="21" t="s">
        <v>1888</v>
      </c>
      <c r="L735" s="55" t="s">
        <v>1889</v>
      </c>
      <c r="M735" s="150"/>
      <c r="N735" s="23" t="s">
        <v>1890</v>
      </c>
      <c r="O735" s="23" t="s">
        <v>29</v>
      </c>
      <c r="P735" s="45" t="s">
        <v>38</v>
      </c>
      <c r="Q735" s="45">
        <v>5</v>
      </c>
      <c r="R735" s="54">
        <v>45625</v>
      </c>
      <c r="S735" s="54">
        <v>45629</v>
      </c>
      <c r="T735" s="45" t="s">
        <v>19</v>
      </c>
      <c r="U735" s="100">
        <v>5</v>
      </c>
      <c r="V735" s="108">
        <v>0</v>
      </c>
      <c r="W735" s="22" t="s">
        <v>40</v>
      </c>
      <c r="X735" s="22" t="str">
        <f t="shared" si="65"/>
        <v>D1-PEW-B-2T0.6</v>
      </c>
      <c r="Y735" s="22" t="s">
        <v>32</v>
      </c>
      <c r="Z735" s="78"/>
    </row>
    <row r="736" spans="1:26" s="70" customFormat="1" ht="24.95" customHeight="1">
      <c r="A736" s="80"/>
      <c r="B736" s="147">
        <v>45597</v>
      </c>
      <c r="C736" s="155" t="s">
        <v>35</v>
      </c>
      <c r="D736" s="59" t="s">
        <v>20</v>
      </c>
      <c r="E736" s="14" t="str">
        <f t="shared" si="66"/>
        <v>V4B</v>
      </c>
      <c r="F736" s="111" t="s">
        <v>1891</v>
      </c>
      <c r="G736" s="3" t="s">
        <v>26</v>
      </c>
      <c r="H736" s="111">
        <v>0.4</v>
      </c>
      <c r="I736" s="22" t="s">
        <v>31</v>
      </c>
      <c r="J736" s="21" t="s">
        <v>317</v>
      </c>
      <c r="K736" s="21"/>
      <c r="L736" s="55" t="s">
        <v>189</v>
      </c>
      <c r="M736" s="150"/>
      <c r="N736" s="23" t="s">
        <v>1892</v>
      </c>
      <c r="O736" s="23" t="s">
        <v>30</v>
      </c>
      <c r="P736" s="45" t="s">
        <v>1893</v>
      </c>
      <c r="Q736" s="45">
        <v>4</v>
      </c>
      <c r="R736" s="54">
        <v>45627</v>
      </c>
      <c r="S736" s="54">
        <v>45629</v>
      </c>
      <c r="T736" s="45" t="s">
        <v>19</v>
      </c>
      <c r="U736" s="100">
        <v>4</v>
      </c>
      <c r="V736" s="108">
        <v>0</v>
      </c>
      <c r="W736" s="22" t="s">
        <v>40</v>
      </c>
      <c r="X736" s="22" t="str">
        <f t="shared" si="65"/>
        <v>D2IDW-4B2Y0.4</v>
      </c>
      <c r="Y736" s="22" t="s">
        <v>32</v>
      </c>
      <c r="Z736" s="78"/>
    </row>
    <row r="737" spans="1:26" s="70" customFormat="1" ht="24.95" customHeight="1">
      <c r="A737" s="80"/>
      <c r="B737" s="147">
        <v>45597</v>
      </c>
      <c r="C737" s="155" t="s">
        <v>35</v>
      </c>
      <c r="D737" s="59" t="s">
        <v>20</v>
      </c>
      <c r="E737" s="14" t="str">
        <f t="shared" si="66"/>
        <v>VOB</v>
      </c>
      <c r="F737" s="111" t="s">
        <v>259</v>
      </c>
      <c r="G737" s="3" t="s">
        <v>26</v>
      </c>
      <c r="H737" s="111">
        <v>0.6</v>
      </c>
      <c r="I737" s="22" t="s">
        <v>31</v>
      </c>
      <c r="J737" s="21" t="s">
        <v>763</v>
      </c>
      <c r="K737" s="21"/>
      <c r="L737" s="55" t="s">
        <v>1894</v>
      </c>
      <c r="M737" s="150"/>
      <c r="N737" s="23" t="s">
        <v>1895</v>
      </c>
      <c r="O737" s="23" t="s">
        <v>382</v>
      </c>
      <c r="P737" s="45" t="s">
        <v>365</v>
      </c>
      <c r="Q737" s="45">
        <v>10</v>
      </c>
      <c r="R737" s="54">
        <v>45626</v>
      </c>
      <c r="S737" s="54">
        <v>45629</v>
      </c>
      <c r="T737" s="45" t="s">
        <v>19</v>
      </c>
      <c r="U737" s="100">
        <v>10</v>
      </c>
      <c r="V737" s="108">
        <v>0</v>
      </c>
      <c r="W737" s="22" t="s">
        <v>40</v>
      </c>
      <c r="X737" s="22" t="str">
        <f t="shared" si="65"/>
        <v>D1-PEW-B-2T0.6</v>
      </c>
      <c r="Y737" s="22" t="s">
        <v>32</v>
      </c>
      <c r="Z737" s="78"/>
    </row>
    <row r="738" spans="1:26" s="70" customFormat="1" ht="24.95" customHeight="1">
      <c r="A738" s="80"/>
      <c r="B738" s="147">
        <v>45597</v>
      </c>
      <c r="C738" s="155" t="s">
        <v>35</v>
      </c>
      <c r="D738" s="59" t="s">
        <v>20</v>
      </c>
      <c r="E738" s="14" t="str">
        <f t="shared" si="66"/>
        <v>12B</v>
      </c>
      <c r="F738" s="111" t="s">
        <v>633</v>
      </c>
      <c r="G738" s="15" t="s">
        <v>27</v>
      </c>
      <c r="H738" s="111">
        <v>1.25</v>
      </c>
      <c r="I738" s="22" t="s">
        <v>187</v>
      </c>
      <c r="J738" s="21" t="s">
        <v>1927</v>
      </c>
      <c r="K738" s="21" t="s">
        <v>1928</v>
      </c>
      <c r="L738" s="55" t="s">
        <v>1929</v>
      </c>
      <c r="M738" s="150"/>
      <c r="N738" s="23" t="s">
        <v>1930</v>
      </c>
      <c r="O738" s="23" t="s">
        <v>30</v>
      </c>
      <c r="P738" s="45" t="s">
        <v>1210</v>
      </c>
      <c r="Q738" s="45">
        <v>4</v>
      </c>
      <c r="R738" s="54">
        <v>45626</v>
      </c>
      <c r="S738" s="54">
        <v>45636</v>
      </c>
      <c r="T738" s="45" t="s">
        <v>19</v>
      </c>
      <c r="U738" s="100">
        <v>4</v>
      </c>
      <c r="V738" s="108">
        <v>0</v>
      </c>
      <c r="W738" s="22" t="s">
        <v>40</v>
      </c>
      <c r="X738" s="22" t="str">
        <f>F738&amp;H738</f>
        <v>2EIWAD-P1.25</v>
      </c>
      <c r="Y738" s="22" t="s">
        <v>32</v>
      </c>
      <c r="Z738" s="78"/>
    </row>
    <row r="739" spans="1:26" s="70" customFormat="1" ht="24.95" customHeight="1">
      <c r="A739" s="80"/>
      <c r="B739" s="147">
        <v>45598</v>
      </c>
      <c r="C739" s="155" t="s">
        <v>35</v>
      </c>
      <c r="D739" s="59" t="s">
        <v>20</v>
      </c>
      <c r="E739" s="14" t="str">
        <f t="shared" si="66"/>
        <v>11A</v>
      </c>
      <c r="F739" s="111" t="s">
        <v>251</v>
      </c>
      <c r="G739" s="3" t="s">
        <v>26</v>
      </c>
      <c r="H739" s="111">
        <v>0.83</v>
      </c>
      <c r="I739" s="22" t="s">
        <v>252</v>
      </c>
      <c r="J739" s="21" t="s">
        <v>1932</v>
      </c>
      <c r="K739" s="21" t="s">
        <v>350</v>
      </c>
      <c r="L739" s="55"/>
      <c r="M739" s="150"/>
      <c r="N739" s="23" t="s">
        <v>1933</v>
      </c>
      <c r="O739" s="23" t="s">
        <v>29</v>
      </c>
      <c r="P739" s="45">
        <v>4</v>
      </c>
      <c r="Q739" s="45">
        <v>1</v>
      </c>
      <c r="R739" s="54">
        <v>45626</v>
      </c>
      <c r="S739" s="54">
        <v>45645</v>
      </c>
      <c r="T739" s="45" t="s">
        <v>19</v>
      </c>
      <c r="U739" s="100">
        <v>1</v>
      </c>
      <c r="V739" s="108">
        <v>0</v>
      </c>
      <c r="W739" s="22" t="s">
        <v>40</v>
      </c>
      <c r="X739" s="22" t="str">
        <f>F739&amp;H739</f>
        <v>D2-IDW-4E0.83</v>
      </c>
      <c r="Y739" s="22" t="s">
        <v>32</v>
      </c>
      <c r="Z739" s="78"/>
    </row>
    <row r="740" spans="1:26" s="70" customFormat="1" ht="24.95" customHeight="1">
      <c r="A740" s="80"/>
      <c r="B740" s="147">
        <v>45599</v>
      </c>
      <c r="C740" s="163" t="s">
        <v>35</v>
      </c>
      <c r="D740" s="59" t="s">
        <v>20</v>
      </c>
      <c r="E740" s="14" t="str">
        <f>IF(B622="","",LEFT(N740,3))</f>
        <v>V6A</v>
      </c>
      <c r="F740" s="111" t="s">
        <v>186</v>
      </c>
      <c r="G740" s="3" t="s">
        <v>26</v>
      </c>
      <c r="H740" s="111">
        <v>1.18</v>
      </c>
      <c r="I740" s="22" t="s">
        <v>187</v>
      </c>
      <c r="J740" s="21" t="s">
        <v>287</v>
      </c>
      <c r="K740" s="21" t="s">
        <v>287</v>
      </c>
      <c r="L740" s="55" t="s">
        <v>809</v>
      </c>
      <c r="M740" s="150"/>
      <c r="N740" s="23" t="s">
        <v>1934</v>
      </c>
      <c r="O740" s="23" t="s">
        <v>29</v>
      </c>
      <c r="P740" s="45">
        <v>5</v>
      </c>
      <c r="Q740" s="45">
        <v>1</v>
      </c>
      <c r="R740" s="54">
        <v>45626</v>
      </c>
      <c r="S740" s="54">
        <v>45645</v>
      </c>
      <c r="T740" s="45" t="s">
        <v>19</v>
      </c>
      <c r="U740" s="100">
        <v>0</v>
      </c>
      <c r="V740" s="108">
        <v>1</v>
      </c>
      <c r="W740" s="22" t="s">
        <v>40</v>
      </c>
      <c r="X740" s="22" t="str">
        <f>F740&amp;H740</f>
        <v>1HGZ-MA1.18</v>
      </c>
      <c r="Y740" s="22" t="s">
        <v>182</v>
      </c>
      <c r="Z740" s="78"/>
    </row>
    <row r="741" spans="1:26" s="70" customFormat="1" ht="24.95" customHeight="1">
      <c r="A741" s="80"/>
      <c r="B741" s="147">
        <v>45599</v>
      </c>
      <c r="C741" s="163" t="s">
        <v>35</v>
      </c>
      <c r="D741" s="59" t="s">
        <v>20</v>
      </c>
      <c r="E741" s="14" t="str">
        <f t="shared" ref="E741:E742" si="67">IF(B623="","",LEFT(N741,3))</f>
        <v>V4B</v>
      </c>
      <c r="F741" s="111" t="s">
        <v>1891</v>
      </c>
      <c r="G741" s="3" t="s">
        <v>26</v>
      </c>
      <c r="H741" s="111">
        <v>0.4</v>
      </c>
      <c r="I741" s="22" t="s">
        <v>31</v>
      </c>
      <c r="J741" s="21" t="s">
        <v>2007</v>
      </c>
      <c r="K741" s="21"/>
      <c r="L741" s="55" t="s">
        <v>189</v>
      </c>
      <c r="M741" s="150"/>
      <c r="N741" s="23" t="s">
        <v>2008</v>
      </c>
      <c r="O741" s="23" t="s">
        <v>30</v>
      </c>
      <c r="P741" s="45">
        <v>1.7</v>
      </c>
      <c r="Q741" s="45">
        <v>2</v>
      </c>
      <c r="R741" s="54">
        <v>45700</v>
      </c>
      <c r="S741" s="54">
        <v>46007</v>
      </c>
      <c r="T741" s="45" t="s">
        <v>19</v>
      </c>
      <c r="U741" s="100">
        <v>1</v>
      </c>
      <c r="V741" s="108">
        <v>1</v>
      </c>
      <c r="W741" s="22" t="s">
        <v>40</v>
      </c>
      <c r="X741" s="22" t="str">
        <f>F741&amp;H741</f>
        <v>D2IDW-4B2Y0.4</v>
      </c>
      <c r="Y741" s="160" t="s">
        <v>2009</v>
      </c>
      <c r="Z741" s="78"/>
    </row>
    <row r="742" spans="1:26" s="70" customFormat="1" ht="24.95" customHeight="1">
      <c r="A742" s="80"/>
      <c r="B742" s="147">
        <v>45597</v>
      </c>
      <c r="C742" s="163" t="s">
        <v>51</v>
      </c>
      <c r="D742" s="59" t="s">
        <v>20</v>
      </c>
      <c r="E742" s="14" t="str">
        <f t="shared" si="67"/>
        <v>H1A</v>
      </c>
      <c r="F742" s="111" t="s">
        <v>52</v>
      </c>
      <c r="G742" s="3" t="s">
        <v>26</v>
      </c>
      <c r="H742" s="111">
        <v>0.26</v>
      </c>
      <c r="I742" s="22" t="s">
        <v>43</v>
      </c>
      <c r="J742" s="21" t="s">
        <v>299</v>
      </c>
      <c r="K742" s="21"/>
      <c r="L742" s="21" t="s">
        <v>761</v>
      </c>
      <c r="M742" s="150"/>
      <c r="N742" s="23" t="s">
        <v>1821</v>
      </c>
      <c r="O742" s="23" t="s">
        <v>30</v>
      </c>
      <c r="P742" s="45">
        <v>4</v>
      </c>
      <c r="Q742" s="45">
        <v>1</v>
      </c>
      <c r="R742" s="54">
        <v>45598</v>
      </c>
      <c r="S742" s="54">
        <v>45604</v>
      </c>
      <c r="T742" s="45" t="s">
        <v>19</v>
      </c>
      <c r="U742" s="100">
        <v>1</v>
      </c>
      <c r="V742" s="108">
        <v>0</v>
      </c>
      <c r="W742" s="22" t="s">
        <v>40</v>
      </c>
      <c r="X742" s="22" t="str">
        <f t="shared" si="65"/>
        <v>D2IDW4-B-20.26</v>
      </c>
      <c r="Y742" s="22" t="s">
        <v>32</v>
      </c>
      <c r="Z742" s="78"/>
    </row>
    <row r="743" spans="1:26" s="70" customFormat="1" ht="24.95" customHeight="1">
      <c r="A743" s="80"/>
      <c r="B743" s="147">
        <v>45597</v>
      </c>
      <c r="C743" s="154" t="s">
        <v>51</v>
      </c>
      <c r="D743" s="59" t="s">
        <v>20</v>
      </c>
      <c r="E743" s="14" t="str">
        <f>IF(B621="","",LEFT(N743,3))</f>
        <v>H4A</v>
      </c>
      <c r="F743" s="111" t="s">
        <v>429</v>
      </c>
      <c r="G743" s="3" t="s">
        <v>26</v>
      </c>
      <c r="H743" s="111">
        <v>0.35</v>
      </c>
      <c r="I743" s="22" t="s">
        <v>917</v>
      </c>
      <c r="J743" s="21" t="s">
        <v>274</v>
      </c>
      <c r="K743" s="21" t="s">
        <v>1856</v>
      </c>
      <c r="L743" s="21" t="s">
        <v>1857</v>
      </c>
      <c r="M743" s="150"/>
      <c r="N743" s="23" t="s">
        <v>1858</v>
      </c>
      <c r="O743" s="23" t="s">
        <v>1859</v>
      </c>
      <c r="P743" s="45">
        <v>1</v>
      </c>
      <c r="Q743" s="45">
        <v>1</v>
      </c>
      <c r="R743" s="54">
        <v>45607</v>
      </c>
      <c r="S743" s="54">
        <v>45616</v>
      </c>
      <c r="T743" s="45" t="s">
        <v>19</v>
      </c>
      <c r="U743" s="100">
        <v>1</v>
      </c>
      <c r="V743" s="108">
        <v>0</v>
      </c>
      <c r="W743" s="22" t="s">
        <v>40</v>
      </c>
      <c r="X743" s="22" t="str">
        <f t="shared" si="65"/>
        <v>2-ATZ-3000.35</v>
      </c>
      <c r="Y743" s="22" t="s">
        <v>32</v>
      </c>
      <c r="Z743" s="78"/>
    </row>
    <row r="744" spans="1:26" s="70" customFormat="1" ht="24.95" customHeight="1">
      <c r="A744" s="80"/>
      <c r="B744" s="147">
        <v>45597</v>
      </c>
      <c r="C744" s="154" t="s">
        <v>51</v>
      </c>
      <c r="D744" s="59" t="s">
        <v>20</v>
      </c>
      <c r="E744" s="14" t="str">
        <f>IF(B622="","",LEFT(N744,3))</f>
        <v>H2A</v>
      </c>
      <c r="F744" s="111" t="s">
        <v>52</v>
      </c>
      <c r="G744" s="3" t="s">
        <v>26</v>
      </c>
      <c r="H744" s="111">
        <v>0.26</v>
      </c>
      <c r="I744" s="22" t="s">
        <v>43</v>
      </c>
      <c r="J744" s="21" t="s">
        <v>299</v>
      </c>
      <c r="K744" s="21"/>
      <c r="L744" s="21" t="s">
        <v>225</v>
      </c>
      <c r="M744" s="150"/>
      <c r="N744" s="23" t="s">
        <v>1860</v>
      </c>
      <c r="O744" s="23" t="s">
        <v>30</v>
      </c>
      <c r="P744" s="45">
        <v>2</v>
      </c>
      <c r="Q744" s="45">
        <v>1</v>
      </c>
      <c r="R744" s="54">
        <v>45603</v>
      </c>
      <c r="S744" s="54">
        <v>45616</v>
      </c>
      <c r="T744" s="45" t="s">
        <v>19</v>
      </c>
      <c r="U744" s="100">
        <v>1</v>
      </c>
      <c r="V744" s="108">
        <v>0</v>
      </c>
      <c r="W744" s="22" t="s">
        <v>40</v>
      </c>
      <c r="X744" s="22" t="str">
        <f t="shared" si="65"/>
        <v>D2IDW4-B-20.26</v>
      </c>
      <c r="Y744" s="22" t="s">
        <v>32</v>
      </c>
      <c r="Z744" s="78"/>
    </row>
    <row r="745" spans="1:26" s="70" customFormat="1" ht="24.95" customHeight="1">
      <c r="A745" s="80"/>
      <c r="B745" s="147">
        <v>45597</v>
      </c>
      <c r="C745" s="154" t="s">
        <v>51</v>
      </c>
      <c r="D745" s="59" t="s">
        <v>20</v>
      </c>
      <c r="E745" s="14" t="str">
        <f>IF(B623="","",LEFT(N745,3))</f>
        <v>H1A</v>
      </c>
      <c r="F745" s="111" t="s">
        <v>52</v>
      </c>
      <c r="G745" s="15" t="s">
        <v>27</v>
      </c>
      <c r="H745" s="111">
        <v>0.26</v>
      </c>
      <c r="I745" s="22" t="s">
        <v>43</v>
      </c>
      <c r="J745" s="21" t="s">
        <v>1863</v>
      </c>
      <c r="K745" s="21" t="s">
        <v>1861</v>
      </c>
      <c r="L745" s="21" t="s">
        <v>1862</v>
      </c>
      <c r="M745" s="150"/>
      <c r="N745" s="23" t="s">
        <v>1821</v>
      </c>
      <c r="O745" s="23" t="s">
        <v>30</v>
      </c>
      <c r="P745" s="45" t="s">
        <v>38</v>
      </c>
      <c r="Q745" s="45">
        <v>5</v>
      </c>
      <c r="R745" s="54">
        <v>45598</v>
      </c>
      <c r="S745" s="54">
        <v>45617</v>
      </c>
      <c r="T745" s="45" t="s">
        <v>19</v>
      </c>
      <c r="U745" s="100">
        <v>5</v>
      </c>
      <c r="V745" s="108">
        <v>0</v>
      </c>
      <c r="W745" s="22" t="s">
        <v>40</v>
      </c>
      <c r="X745" s="22" t="str">
        <f t="shared" si="65"/>
        <v>D2IDW4-B-20.26</v>
      </c>
      <c r="Y745" s="22" t="s">
        <v>32</v>
      </c>
      <c r="Z745" s="78"/>
    </row>
    <row r="746" spans="1:26" s="70" customFormat="1" ht="24.95" customHeight="1">
      <c r="A746" s="80"/>
      <c r="B746" s="147">
        <v>45597</v>
      </c>
      <c r="C746" s="154" t="s">
        <v>51</v>
      </c>
      <c r="D746" s="59" t="s">
        <v>20</v>
      </c>
      <c r="E746" s="14" t="str">
        <f>IF(B624="","",LEFT(N746,3))</f>
        <v>H1B</v>
      </c>
      <c r="F746" s="111" t="s">
        <v>52</v>
      </c>
      <c r="G746" s="15" t="s">
        <v>27</v>
      </c>
      <c r="H746" s="111">
        <v>0.26</v>
      </c>
      <c r="I746" s="22" t="s">
        <v>43</v>
      </c>
      <c r="J746" s="21" t="s">
        <v>1863</v>
      </c>
      <c r="K746" s="21" t="s">
        <v>1861</v>
      </c>
      <c r="L746" s="21" t="s">
        <v>1862</v>
      </c>
      <c r="M746" s="150"/>
      <c r="N746" s="23" t="s">
        <v>1864</v>
      </c>
      <c r="O746" s="23" t="s">
        <v>176</v>
      </c>
      <c r="P746" s="45" t="s">
        <v>38</v>
      </c>
      <c r="Q746" s="45">
        <v>10</v>
      </c>
      <c r="R746" s="54">
        <v>45598</v>
      </c>
      <c r="S746" s="54">
        <v>45617</v>
      </c>
      <c r="T746" s="45" t="s">
        <v>19</v>
      </c>
      <c r="U746" s="100">
        <v>10</v>
      </c>
      <c r="V746" s="108">
        <v>0</v>
      </c>
      <c r="W746" s="22" t="s">
        <v>40</v>
      </c>
      <c r="X746" s="22" t="str">
        <f t="shared" si="65"/>
        <v>D2IDW4-B-20.26</v>
      </c>
      <c r="Y746" s="22" t="s">
        <v>32</v>
      </c>
      <c r="Z746" s="78"/>
    </row>
    <row r="747" spans="1:26" s="70" customFormat="1" ht="24.95" customHeight="1">
      <c r="A747" s="80"/>
      <c r="B747" s="147">
        <v>45597</v>
      </c>
      <c r="C747" s="154" t="s">
        <v>51</v>
      </c>
      <c r="D747" s="59" t="s">
        <v>20</v>
      </c>
      <c r="E747" s="14" t="str">
        <f>IF(B625="","",LEFT(N747,3))</f>
        <v>H3A</v>
      </c>
      <c r="F747" s="111" t="s">
        <v>52</v>
      </c>
      <c r="G747" s="15" t="s">
        <v>27</v>
      </c>
      <c r="H747" s="111">
        <v>0.31</v>
      </c>
      <c r="I747" s="22" t="s">
        <v>31</v>
      </c>
      <c r="J747" s="21" t="s">
        <v>1865</v>
      </c>
      <c r="K747" s="21" t="s">
        <v>1866</v>
      </c>
      <c r="L747" s="21" t="s">
        <v>1867</v>
      </c>
      <c r="M747" s="150"/>
      <c r="N747" s="23" t="s">
        <v>1868</v>
      </c>
      <c r="O747" s="23" t="s">
        <v>1077</v>
      </c>
      <c r="P747" s="45">
        <v>1</v>
      </c>
      <c r="Q747" s="45">
        <v>7</v>
      </c>
      <c r="R747" s="54">
        <v>45614</v>
      </c>
      <c r="S747" s="54">
        <v>45617</v>
      </c>
      <c r="T747" s="45" t="s">
        <v>19</v>
      </c>
      <c r="U747" s="100">
        <v>7</v>
      </c>
      <c r="V747" s="108">
        <v>0</v>
      </c>
      <c r="W747" s="22" t="s">
        <v>40</v>
      </c>
      <c r="X747" s="22" t="str">
        <f t="shared" si="65"/>
        <v>D2IDW4-B-20.31</v>
      </c>
      <c r="Y747" s="22" t="s">
        <v>32</v>
      </c>
      <c r="Z747" s="78"/>
    </row>
    <row r="748" spans="1:26" s="70" customFormat="1" ht="24.95" customHeight="1">
      <c r="A748" s="80"/>
      <c r="B748" s="147">
        <v>45597</v>
      </c>
      <c r="C748" s="154" t="s">
        <v>51</v>
      </c>
      <c r="D748" s="59" t="s">
        <v>20</v>
      </c>
      <c r="E748" s="14" t="str">
        <f>IF(B626="","",LEFT(N748,3))</f>
        <v>H2B</v>
      </c>
      <c r="F748" s="111" t="s">
        <v>285</v>
      </c>
      <c r="G748" s="3" t="s">
        <v>26</v>
      </c>
      <c r="H748" s="111">
        <v>0.38</v>
      </c>
      <c r="I748" s="22" t="s">
        <v>286</v>
      </c>
      <c r="J748" s="21" t="s">
        <v>1869</v>
      </c>
      <c r="K748" s="21"/>
      <c r="L748" s="21" t="s">
        <v>467</v>
      </c>
      <c r="M748" s="150"/>
      <c r="N748" s="23" t="s">
        <v>1870</v>
      </c>
      <c r="O748" s="23" t="s">
        <v>1807</v>
      </c>
      <c r="P748" s="45" t="s">
        <v>1210</v>
      </c>
      <c r="Q748" s="45">
        <v>10</v>
      </c>
      <c r="R748" s="54">
        <v>45604</v>
      </c>
      <c r="S748" s="54">
        <v>45617</v>
      </c>
      <c r="T748" s="45" t="s">
        <v>19</v>
      </c>
      <c r="U748" s="100">
        <v>10</v>
      </c>
      <c r="V748" s="108">
        <v>0</v>
      </c>
      <c r="W748" s="22" t="s">
        <v>40</v>
      </c>
      <c r="X748" s="22" t="str">
        <f t="shared" si="65"/>
        <v>1-UTZ0.38</v>
      </c>
      <c r="Y748" s="22" t="s">
        <v>32</v>
      </c>
      <c r="Z748" s="78"/>
    </row>
    <row r="749" spans="1:26" s="70" customFormat="1" ht="24.95" customHeight="1">
      <c r="A749" s="80"/>
      <c r="B749" s="147">
        <v>45597</v>
      </c>
      <c r="C749" s="154" t="s">
        <v>51</v>
      </c>
      <c r="D749" s="59" t="s">
        <v>20</v>
      </c>
      <c r="E749" s="14" t="str">
        <f>IF(B627="","",LEFT(N749,3))</f>
        <v>H2A</v>
      </c>
      <c r="F749" s="111" t="s">
        <v>52</v>
      </c>
      <c r="G749" s="3" t="s">
        <v>26</v>
      </c>
      <c r="H749" s="111">
        <v>0.26</v>
      </c>
      <c r="I749" s="22" t="s">
        <v>43</v>
      </c>
      <c r="J749" s="21" t="s">
        <v>1909</v>
      </c>
      <c r="K749" s="21"/>
      <c r="L749" s="21" t="s">
        <v>1910</v>
      </c>
      <c r="M749" s="150"/>
      <c r="N749" s="23" t="s">
        <v>1911</v>
      </c>
      <c r="O749" s="23" t="s">
        <v>30</v>
      </c>
      <c r="P749" s="45" t="s">
        <v>1912</v>
      </c>
      <c r="Q749" s="45">
        <v>3</v>
      </c>
      <c r="R749" s="54">
        <v>45625</v>
      </c>
      <c r="S749" s="54">
        <v>45637</v>
      </c>
      <c r="T749" s="45" t="s">
        <v>19</v>
      </c>
      <c r="U749" s="100">
        <v>3</v>
      </c>
      <c r="V749" s="108">
        <v>0</v>
      </c>
      <c r="W749" s="22" t="s">
        <v>40</v>
      </c>
      <c r="X749" s="22" t="str">
        <f t="shared" si="65"/>
        <v>D2IDW4-B-20.26</v>
      </c>
      <c r="Y749" s="22" t="s">
        <v>32</v>
      </c>
      <c r="Z749" s="78"/>
    </row>
    <row r="750" spans="1:26" s="70" customFormat="1" ht="24.95" customHeight="1">
      <c r="A750" s="80"/>
      <c r="B750" s="147">
        <v>45597</v>
      </c>
      <c r="C750" s="154" t="s">
        <v>51</v>
      </c>
      <c r="D750" s="59" t="s">
        <v>20</v>
      </c>
      <c r="E750" s="14" t="str">
        <f>IF(B628="","",LEFT(N750,3))</f>
        <v>H1A</v>
      </c>
      <c r="F750" s="111" t="s">
        <v>52</v>
      </c>
      <c r="G750" s="3" t="s">
        <v>26</v>
      </c>
      <c r="H750" s="111">
        <v>0.26</v>
      </c>
      <c r="I750" s="22" t="s">
        <v>43</v>
      </c>
      <c r="J750" s="21" t="s">
        <v>221</v>
      </c>
      <c r="K750" s="21"/>
      <c r="L750" s="21" t="s">
        <v>1494</v>
      </c>
      <c r="M750" s="150"/>
      <c r="N750" s="23" t="s">
        <v>1913</v>
      </c>
      <c r="O750" s="23" t="s">
        <v>30</v>
      </c>
      <c r="P750" s="45">
        <v>3</v>
      </c>
      <c r="Q750" s="45">
        <v>1</v>
      </c>
      <c r="R750" s="54">
        <v>45626</v>
      </c>
      <c r="S750" s="54">
        <v>45637</v>
      </c>
      <c r="T750" s="45" t="s">
        <v>19</v>
      </c>
      <c r="U750" s="100">
        <v>1</v>
      </c>
      <c r="V750" s="108">
        <v>0</v>
      </c>
      <c r="W750" s="22" t="s">
        <v>40</v>
      </c>
      <c r="X750" s="22" t="str">
        <f t="shared" si="65"/>
        <v>D2IDW4-B-20.26</v>
      </c>
      <c r="Y750" s="22" t="s">
        <v>32</v>
      </c>
      <c r="Z750" s="78"/>
    </row>
    <row r="751" spans="1:26" s="70" customFormat="1" ht="24.95" customHeight="1">
      <c r="A751" s="80"/>
      <c r="B751" s="147">
        <v>45597</v>
      </c>
      <c r="C751" s="154" t="s">
        <v>51</v>
      </c>
      <c r="D751" s="59" t="s">
        <v>20</v>
      </c>
      <c r="E751" s="14" t="str">
        <f>IF(B629="","",LEFT(N751,3))</f>
        <v>H2A</v>
      </c>
      <c r="F751" s="111" t="s">
        <v>52</v>
      </c>
      <c r="G751" s="3" t="s">
        <v>26</v>
      </c>
      <c r="H751" s="111">
        <v>0.26</v>
      </c>
      <c r="I751" s="22" t="s">
        <v>43</v>
      </c>
      <c r="J751" s="21" t="s">
        <v>221</v>
      </c>
      <c r="K751" s="21"/>
      <c r="L751" s="21" t="s">
        <v>1914</v>
      </c>
      <c r="M751" s="150"/>
      <c r="N751" s="23" t="s">
        <v>1915</v>
      </c>
      <c r="O751" s="23" t="s">
        <v>176</v>
      </c>
      <c r="P751" s="45" t="s">
        <v>1916</v>
      </c>
      <c r="Q751" s="45">
        <v>4</v>
      </c>
      <c r="R751" s="54">
        <v>45626</v>
      </c>
      <c r="S751" s="54">
        <v>45637</v>
      </c>
      <c r="T751" s="45" t="s">
        <v>19</v>
      </c>
      <c r="U751" s="100">
        <v>4</v>
      </c>
      <c r="V751" s="108">
        <v>0</v>
      </c>
      <c r="W751" s="22" t="s">
        <v>40</v>
      </c>
      <c r="X751" s="22" t="str">
        <f t="shared" si="65"/>
        <v>D2IDW4-B-20.26</v>
      </c>
      <c r="Y751" s="22" t="s">
        <v>32</v>
      </c>
      <c r="Z751" s="78"/>
    </row>
    <row r="752" spans="1:26" s="70" customFormat="1" ht="24.95" customHeight="1">
      <c r="A752" s="80"/>
      <c r="B752" s="147">
        <v>45597</v>
      </c>
      <c r="C752" s="154" t="s">
        <v>51</v>
      </c>
      <c r="D752" s="59" t="s">
        <v>20</v>
      </c>
      <c r="E752" s="14" t="str">
        <f>IF(B630="","",LEFT(N752,3))</f>
        <v>H2A</v>
      </c>
      <c r="F752" s="111" t="s">
        <v>52</v>
      </c>
      <c r="G752" s="3" t="s">
        <v>26</v>
      </c>
      <c r="H752" s="111">
        <v>0.26</v>
      </c>
      <c r="I752" s="22" t="s">
        <v>43</v>
      </c>
      <c r="J752" s="21" t="s">
        <v>221</v>
      </c>
      <c r="K752" s="21"/>
      <c r="L752" s="21" t="s">
        <v>1301</v>
      </c>
      <c r="M752" s="150"/>
      <c r="N752" s="23" t="s">
        <v>1917</v>
      </c>
      <c r="O752" s="23" t="s">
        <v>30</v>
      </c>
      <c r="P752" s="45" t="s">
        <v>1621</v>
      </c>
      <c r="Q752" s="45">
        <v>3</v>
      </c>
      <c r="R752" s="54">
        <v>45626</v>
      </c>
      <c r="S752" s="54">
        <v>45637</v>
      </c>
      <c r="T752" s="45" t="s">
        <v>19</v>
      </c>
      <c r="U752" s="100">
        <v>3</v>
      </c>
      <c r="V752" s="108">
        <v>0</v>
      </c>
      <c r="W752" s="22" t="s">
        <v>40</v>
      </c>
      <c r="X752" s="22" t="str">
        <f t="shared" si="65"/>
        <v>D2IDW4-B-20.26</v>
      </c>
      <c r="Y752" s="22" t="s">
        <v>32</v>
      </c>
      <c r="Z752" s="78"/>
    </row>
    <row r="753" spans="1:26" s="70" customFormat="1" ht="24.95" customHeight="1">
      <c r="A753" s="80"/>
      <c r="B753" s="147">
        <v>45597</v>
      </c>
      <c r="C753" s="154" t="s">
        <v>51</v>
      </c>
      <c r="D753" s="59" t="s">
        <v>20</v>
      </c>
      <c r="E753" s="14" t="str">
        <f>IF(B631="","",LEFT(N753,3))</f>
        <v>H3B</v>
      </c>
      <c r="F753" s="111" t="s">
        <v>48</v>
      </c>
      <c r="G753" s="3" t="s">
        <v>26</v>
      </c>
      <c r="H753" s="111">
        <v>0.35</v>
      </c>
      <c r="I753" s="22" t="s">
        <v>178</v>
      </c>
      <c r="J753" s="21" t="s">
        <v>763</v>
      </c>
      <c r="K753" s="21"/>
      <c r="L753" s="21" t="s">
        <v>1918</v>
      </c>
      <c r="M753" s="150"/>
      <c r="N753" s="23" t="s">
        <v>1919</v>
      </c>
      <c r="O753" s="23" t="s">
        <v>30</v>
      </c>
      <c r="P753" s="45">
        <v>1</v>
      </c>
      <c r="Q753" s="45">
        <v>1</v>
      </c>
      <c r="R753" s="54">
        <v>45627</v>
      </c>
      <c r="S753" s="54">
        <v>45637</v>
      </c>
      <c r="T753" s="45" t="s">
        <v>19</v>
      </c>
      <c r="U753" s="100">
        <v>1</v>
      </c>
      <c r="V753" s="108">
        <v>0</v>
      </c>
      <c r="W753" s="22" t="s">
        <v>40</v>
      </c>
      <c r="X753" s="22" t="str">
        <f t="shared" si="65"/>
        <v>D2-PEW-B-10.35</v>
      </c>
      <c r="Y753" s="22" t="s">
        <v>32</v>
      </c>
      <c r="Z753" s="78"/>
    </row>
    <row r="754" spans="1:26" s="70" customFormat="1" ht="24.95" customHeight="1">
      <c r="A754" s="80"/>
      <c r="B754" s="147">
        <v>45597</v>
      </c>
      <c r="C754" s="154" t="s">
        <v>51</v>
      </c>
      <c r="D754" s="59" t="s">
        <v>20</v>
      </c>
      <c r="E754" s="14" t="str">
        <f>IF(B632="","",LEFT(N754,3))</f>
        <v>H5A</v>
      </c>
      <c r="F754" s="111" t="s">
        <v>482</v>
      </c>
      <c r="G754" s="3" t="s">
        <v>26</v>
      </c>
      <c r="H754" s="111">
        <v>0.21</v>
      </c>
      <c r="I754" s="22" t="s">
        <v>25</v>
      </c>
      <c r="J754" s="21" t="s">
        <v>274</v>
      </c>
      <c r="K754" s="21" t="s">
        <v>918</v>
      </c>
      <c r="L754" s="21" t="s">
        <v>1970</v>
      </c>
      <c r="M754" s="150"/>
      <c r="N754" s="23" t="s">
        <v>1971</v>
      </c>
      <c r="O754" s="23" t="s">
        <v>30</v>
      </c>
      <c r="P754" s="45">
        <v>1</v>
      </c>
      <c r="Q754" s="45">
        <v>1</v>
      </c>
      <c r="R754" s="54">
        <v>45601</v>
      </c>
      <c r="S754" s="54">
        <v>45646</v>
      </c>
      <c r="T754" s="45" t="s">
        <v>19</v>
      </c>
      <c r="U754" s="100">
        <v>0</v>
      </c>
      <c r="V754" s="108">
        <v>1</v>
      </c>
      <c r="W754" s="22" t="s">
        <v>40</v>
      </c>
      <c r="X754" s="22" t="str">
        <f t="shared" si="65"/>
        <v>2AIW0.21</v>
      </c>
      <c r="Y754" s="22" t="s">
        <v>182</v>
      </c>
      <c r="Z754" s="78"/>
    </row>
    <row r="755" spans="1:26" s="70" customFormat="1" ht="24.95" customHeight="1">
      <c r="A755" s="80"/>
      <c r="B755" s="147">
        <v>45597</v>
      </c>
      <c r="C755" s="154" t="s">
        <v>51</v>
      </c>
      <c r="D755" s="59" t="s">
        <v>20</v>
      </c>
      <c r="E755" s="14" t="str">
        <f>IF(B633="","",LEFT(N755,3))</f>
        <v>H2A</v>
      </c>
      <c r="F755" s="111" t="s">
        <v>482</v>
      </c>
      <c r="G755" s="3" t="s">
        <v>26</v>
      </c>
      <c r="H755" s="111">
        <v>0.37</v>
      </c>
      <c r="I755" s="22" t="s">
        <v>487</v>
      </c>
      <c r="J755" s="21" t="s">
        <v>274</v>
      </c>
      <c r="K755" s="21" t="s">
        <v>918</v>
      </c>
      <c r="L755" s="21" t="s">
        <v>1494</v>
      </c>
      <c r="M755" s="150"/>
      <c r="N755" s="23" t="s">
        <v>1972</v>
      </c>
      <c r="O755" s="23" t="s">
        <v>198</v>
      </c>
      <c r="P755" s="45" t="s">
        <v>1973</v>
      </c>
      <c r="Q755" s="45">
        <v>3</v>
      </c>
      <c r="R755" s="54">
        <v>45598</v>
      </c>
      <c r="S755" s="54">
        <v>45646</v>
      </c>
      <c r="T755" s="45" t="s">
        <v>19</v>
      </c>
      <c r="U755" s="100">
        <v>0</v>
      </c>
      <c r="V755" s="108">
        <v>3</v>
      </c>
      <c r="W755" s="22" t="s">
        <v>40</v>
      </c>
      <c r="X755" s="22" t="str">
        <f t="shared" si="65"/>
        <v>2AIW0.37</v>
      </c>
      <c r="Y755" s="22" t="s">
        <v>182</v>
      </c>
      <c r="Z755" s="78"/>
    </row>
    <row r="756" spans="1:26" s="70" customFormat="1" ht="24.95" customHeight="1">
      <c r="A756" s="80"/>
      <c r="B756" s="147">
        <v>45597</v>
      </c>
      <c r="C756" s="154" t="s">
        <v>51</v>
      </c>
      <c r="D756" s="59" t="s">
        <v>20</v>
      </c>
      <c r="E756" s="14" t="str">
        <f>IF(B634="","",LEFT(N756,3))</f>
        <v>H2A</v>
      </c>
      <c r="F756" s="111" t="s">
        <v>482</v>
      </c>
      <c r="G756" s="3" t="s">
        <v>26</v>
      </c>
      <c r="H756" s="111">
        <v>0.37</v>
      </c>
      <c r="I756" s="22" t="s">
        <v>487</v>
      </c>
      <c r="J756" s="21" t="s">
        <v>274</v>
      </c>
      <c r="K756" s="21" t="s">
        <v>918</v>
      </c>
      <c r="L756" s="21" t="s">
        <v>1494</v>
      </c>
      <c r="M756" s="150"/>
      <c r="N756" s="23" t="s">
        <v>1974</v>
      </c>
      <c r="O756" s="23" t="s">
        <v>198</v>
      </c>
      <c r="P756" s="45" t="s">
        <v>1975</v>
      </c>
      <c r="Q756" s="45">
        <v>4</v>
      </c>
      <c r="R756" s="54">
        <v>45599</v>
      </c>
      <c r="S756" s="54">
        <v>45646</v>
      </c>
      <c r="T756" s="45" t="s">
        <v>19</v>
      </c>
      <c r="U756" s="100">
        <v>0</v>
      </c>
      <c r="V756" s="108">
        <v>4</v>
      </c>
      <c r="W756" s="22" t="s">
        <v>40</v>
      </c>
      <c r="X756" s="22" t="str">
        <f t="shared" si="65"/>
        <v>2AIW0.37</v>
      </c>
      <c r="Y756" s="22" t="s">
        <v>182</v>
      </c>
      <c r="Z756" s="78"/>
    </row>
    <row r="757" spans="1:26" s="70" customFormat="1" ht="24.95" customHeight="1">
      <c r="A757" s="80"/>
      <c r="B757" s="147">
        <v>45597</v>
      </c>
      <c r="C757" s="154" t="s">
        <v>51</v>
      </c>
      <c r="D757" s="59" t="s">
        <v>20</v>
      </c>
      <c r="E757" s="14" t="str">
        <f>IF(B635="","",LEFT(N757,3))</f>
        <v>H2A</v>
      </c>
      <c r="F757" s="111" t="s">
        <v>482</v>
      </c>
      <c r="G757" s="3" t="s">
        <v>26</v>
      </c>
      <c r="H757" s="111">
        <v>0.37</v>
      </c>
      <c r="I757" s="22" t="s">
        <v>487</v>
      </c>
      <c r="J757" s="21" t="s">
        <v>162</v>
      </c>
      <c r="K757" s="21" t="s">
        <v>162</v>
      </c>
      <c r="L757" s="21" t="s">
        <v>1494</v>
      </c>
      <c r="M757" s="150"/>
      <c r="N757" s="23" t="s">
        <v>1972</v>
      </c>
      <c r="O757" s="23" t="s">
        <v>195</v>
      </c>
      <c r="P757" s="45">
        <v>3</v>
      </c>
      <c r="Q757" s="45">
        <v>1</v>
      </c>
      <c r="R757" s="54">
        <v>45599</v>
      </c>
      <c r="S757" s="54">
        <v>45646</v>
      </c>
      <c r="T757" s="45" t="s">
        <v>19</v>
      </c>
      <c r="U757" s="100">
        <v>0</v>
      </c>
      <c r="V757" s="108">
        <v>1</v>
      </c>
      <c r="W757" s="22" t="s">
        <v>40</v>
      </c>
      <c r="X757" s="22" t="str">
        <f t="shared" si="65"/>
        <v>2AIW0.37</v>
      </c>
      <c r="Y757" s="22" t="s">
        <v>182</v>
      </c>
      <c r="Z757" s="78"/>
    </row>
    <row r="758" spans="1:26" s="70" customFormat="1" ht="24.95" customHeight="1">
      <c r="A758" s="80"/>
      <c r="B758" s="147">
        <v>45627</v>
      </c>
      <c r="C758" s="156" t="s">
        <v>35</v>
      </c>
      <c r="D758" s="59" t="s">
        <v>20</v>
      </c>
      <c r="E758" s="14" t="str">
        <f>IF(B636="","",LEFT(N758,3))</f>
        <v>V4B</v>
      </c>
      <c r="F758" s="111" t="s">
        <v>1891</v>
      </c>
      <c r="G758" s="3" t="s">
        <v>26</v>
      </c>
      <c r="H758" s="111">
        <v>0.4</v>
      </c>
      <c r="I758" s="22" t="s">
        <v>31</v>
      </c>
      <c r="J758" s="21" t="s">
        <v>1896</v>
      </c>
      <c r="K758" s="21"/>
      <c r="L758" s="21" t="s">
        <v>208</v>
      </c>
      <c r="M758" s="150"/>
      <c r="N758" s="23" t="s">
        <v>1897</v>
      </c>
      <c r="O758" s="23" t="s">
        <v>29</v>
      </c>
      <c r="P758" s="45" t="s">
        <v>1898</v>
      </c>
      <c r="Q758" s="45">
        <v>6</v>
      </c>
      <c r="R758" s="54">
        <v>45628</v>
      </c>
      <c r="S758" s="54">
        <v>45629</v>
      </c>
      <c r="T758" s="45" t="s">
        <v>19</v>
      </c>
      <c r="U758" s="100">
        <v>6</v>
      </c>
      <c r="V758" s="108">
        <v>0</v>
      </c>
      <c r="W758" s="22" t="s">
        <v>40</v>
      </c>
      <c r="X758" s="22" t="str">
        <f t="shared" si="65"/>
        <v>D2IDW-4B2Y0.4</v>
      </c>
      <c r="Y758" s="22" t="s">
        <v>32</v>
      </c>
      <c r="Z758" s="78"/>
    </row>
    <row r="759" spans="1:26" s="70" customFormat="1" ht="24.95" customHeight="1">
      <c r="A759" s="80"/>
      <c r="B759" s="147">
        <v>45627</v>
      </c>
      <c r="C759" s="156" t="s">
        <v>35</v>
      </c>
      <c r="D759" s="59" t="s">
        <v>20</v>
      </c>
      <c r="E759" s="14" t="str">
        <f>IF(B637="","",LEFT(N759,3))</f>
        <v>VOA</v>
      </c>
      <c r="F759" s="111" t="s">
        <v>259</v>
      </c>
      <c r="G759" s="3" t="s">
        <v>26</v>
      </c>
      <c r="H759" s="111">
        <v>0.56000000000000005</v>
      </c>
      <c r="I759" s="22" t="s">
        <v>31</v>
      </c>
      <c r="J759" s="21" t="s">
        <v>360</v>
      </c>
      <c r="K759" s="21"/>
      <c r="L759" s="21" t="s">
        <v>1899</v>
      </c>
      <c r="M759" s="150"/>
      <c r="N759" s="23" t="s">
        <v>1900</v>
      </c>
      <c r="O759" s="23" t="s">
        <v>39</v>
      </c>
      <c r="P759" s="45" t="s">
        <v>38</v>
      </c>
      <c r="Q759" s="45">
        <v>5</v>
      </c>
      <c r="R759" s="54">
        <v>45628</v>
      </c>
      <c r="S759" s="54">
        <v>45629</v>
      </c>
      <c r="T759" s="45" t="s">
        <v>19</v>
      </c>
      <c r="U759" s="100">
        <v>5</v>
      </c>
      <c r="V759" s="108">
        <v>0</v>
      </c>
      <c r="W759" s="22" t="s">
        <v>40</v>
      </c>
      <c r="X759" s="22" t="str">
        <f t="shared" si="65"/>
        <v>D1-PEW-B-2T0.56</v>
      </c>
      <c r="Y759" s="22" t="s">
        <v>32</v>
      </c>
      <c r="Z759" s="78"/>
    </row>
    <row r="760" spans="1:26" s="70" customFormat="1" ht="24.95" customHeight="1">
      <c r="A760" s="80"/>
      <c r="B760" s="147">
        <v>45627</v>
      </c>
      <c r="C760" s="156" t="s">
        <v>35</v>
      </c>
      <c r="D760" s="59" t="s">
        <v>20</v>
      </c>
      <c r="E760" s="14" t="str">
        <f>IF(B629="","",LEFT(N760,3))</f>
        <v>12A</v>
      </c>
      <c r="F760" s="111" t="s">
        <v>165</v>
      </c>
      <c r="G760" s="15" t="s">
        <v>27</v>
      </c>
      <c r="H760" s="111">
        <v>1.81</v>
      </c>
      <c r="I760" s="22" t="s">
        <v>329</v>
      </c>
      <c r="J760" s="21" t="s">
        <v>260</v>
      </c>
      <c r="K760" s="21" t="s">
        <v>1901</v>
      </c>
      <c r="L760" s="21" t="s">
        <v>1899</v>
      </c>
      <c r="M760" s="150"/>
      <c r="N760" s="23" t="s">
        <v>1902</v>
      </c>
      <c r="O760" s="23" t="s">
        <v>29</v>
      </c>
      <c r="P760" s="45">
        <v>2</v>
      </c>
      <c r="Q760" s="45">
        <v>1</v>
      </c>
      <c r="R760" s="54">
        <v>45629</v>
      </c>
      <c r="S760" s="54">
        <v>45636</v>
      </c>
      <c r="T760" s="45" t="s">
        <v>19</v>
      </c>
      <c r="U760" s="100">
        <v>0</v>
      </c>
      <c r="V760" s="108">
        <v>1</v>
      </c>
      <c r="W760" s="22" t="s">
        <v>40</v>
      </c>
      <c r="X760" s="22" t="str">
        <f t="shared" ref="X760:X800" si="68">F760&amp;H760</f>
        <v>2EIWAD-O1.81</v>
      </c>
      <c r="Y760" s="22" t="s">
        <v>182</v>
      </c>
      <c r="Z760" s="78"/>
    </row>
    <row r="761" spans="1:26" s="70" customFormat="1" ht="24.95" customHeight="1">
      <c r="A761" s="80"/>
      <c r="B761" s="147">
        <v>45627</v>
      </c>
      <c r="C761" s="155" t="s">
        <v>35</v>
      </c>
      <c r="D761" s="59" t="s">
        <v>20</v>
      </c>
      <c r="E761" s="14" t="str">
        <f>IF(B630="","",LEFT(N761,3))</f>
        <v>V8D</v>
      </c>
      <c r="F761" s="111" t="s">
        <v>24</v>
      </c>
      <c r="G761" s="3" t="s">
        <v>26</v>
      </c>
      <c r="H761" s="111">
        <v>0.85</v>
      </c>
      <c r="I761" s="22" t="s">
        <v>1397</v>
      </c>
      <c r="J761" s="21" t="s">
        <v>360</v>
      </c>
      <c r="K761" s="21"/>
      <c r="L761" s="55" t="s">
        <v>1903</v>
      </c>
      <c r="M761" s="150"/>
      <c r="N761" s="23" t="s">
        <v>1904</v>
      </c>
      <c r="O761" s="23" t="s">
        <v>30</v>
      </c>
      <c r="P761" s="45" t="s">
        <v>542</v>
      </c>
      <c r="Q761" s="45">
        <v>3</v>
      </c>
      <c r="R761" s="54">
        <v>45631</v>
      </c>
      <c r="S761" s="54">
        <v>45637</v>
      </c>
      <c r="T761" s="45" t="s">
        <v>19</v>
      </c>
      <c r="U761" s="100">
        <v>3</v>
      </c>
      <c r="V761" s="108">
        <v>0</v>
      </c>
      <c r="W761" s="22" t="s">
        <v>40</v>
      </c>
      <c r="X761" s="22" t="str">
        <f t="shared" si="68"/>
        <v>2PEW0.85</v>
      </c>
      <c r="Y761" s="22" t="s">
        <v>32</v>
      </c>
      <c r="Z761" s="78"/>
    </row>
    <row r="762" spans="1:26" s="70" customFormat="1" ht="24.95" customHeight="1">
      <c r="A762" s="80"/>
      <c r="B762" s="147">
        <v>45627</v>
      </c>
      <c r="C762" s="155" t="s">
        <v>35</v>
      </c>
      <c r="D762" s="59" t="s">
        <v>20</v>
      </c>
      <c r="E762" s="14" t="str">
        <f>IF(B631="","",LEFT(N762,3))</f>
        <v>VOB</v>
      </c>
      <c r="F762" s="111" t="s">
        <v>200</v>
      </c>
      <c r="G762" s="3" t="s">
        <v>26</v>
      </c>
      <c r="H762" s="111">
        <v>0.7</v>
      </c>
      <c r="I762" s="22" t="s">
        <v>31</v>
      </c>
      <c r="J762" s="21" t="s">
        <v>360</v>
      </c>
      <c r="K762" s="21"/>
      <c r="L762" s="55"/>
      <c r="M762" s="150"/>
      <c r="N762" s="23" t="s">
        <v>1905</v>
      </c>
      <c r="O762" s="23" t="s">
        <v>193</v>
      </c>
      <c r="P762" s="45" t="s">
        <v>365</v>
      </c>
      <c r="Q762" s="45">
        <v>10</v>
      </c>
      <c r="R762" s="54">
        <v>45632</v>
      </c>
      <c r="S762" s="54">
        <v>45636</v>
      </c>
      <c r="T762" s="45" t="s">
        <v>19</v>
      </c>
      <c r="U762" s="100">
        <v>10</v>
      </c>
      <c r="V762" s="108">
        <v>0</v>
      </c>
      <c r="W762" s="22" t="s">
        <v>40</v>
      </c>
      <c r="X762" s="22" t="str">
        <f t="shared" si="68"/>
        <v>D2IDW-4-B-20.7</v>
      </c>
      <c r="Y762" s="22" t="s">
        <v>32</v>
      </c>
      <c r="Z762" s="78"/>
    </row>
    <row r="763" spans="1:26" s="70" customFormat="1" ht="24.95" customHeight="1">
      <c r="A763" s="80"/>
      <c r="B763" s="147">
        <v>45627</v>
      </c>
      <c r="C763" s="158" t="s">
        <v>35</v>
      </c>
      <c r="D763" s="59" t="s">
        <v>20</v>
      </c>
      <c r="E763" s="14" t="str">
        <f>IF(B632="","",LEFT(N763,3))</f>
        <v>V9A</v>
      </c>
      <c r="F763" s="111" t="s">
        <v>1446</v>
      </c>
      <c r="G763" s="3" t="s">
        <v>26</v>
      </c>
      <c r="H763" s="111">
        <v>1</v>
      </c>
      <c r="I763" s="22" t="s">
        <v>268</v>
      </c>
      <c r="J763" s="21" t="s">
        <v>1906</v>
      </c>
      <c r="K763" s="21"/>
      <c r="L763" s="55"/>
      <c r="M763" s="150"/>
      <c r="N763" s="23" t="s">
        <v>1907</v>
      </c>
      <c r="O763" s="23" t="s">
        <v>39</v>
      </c>
      <c r="P763" s="45" t="s">
        <v>349</v>
      </c>
      <c r="Q763" s="45">
        <v>7</v>
      </c>
      <c r="R763" s="54">
        <v>45631</v>
      </c>
      <c r="S763" s="54">
        <v>45631</v>
      </c>
      <c r="T763" s="45" t="s">
        <v>19</v>
      </c>
      <c r="U763" s="100">
        <v>0</v>
      </c>
      <c r="V763" s="108">
        <v>7</v>
      </c>
      <c r="W763" s="22" t="s">
        <v>40</v>
      </c>
      <c r="X763" s="22" t="str">
        <f t="shared" si="68"/>
        <v>1FBWCC1</v>
      </c>
      <c r="Y763" s="22" t="s">
        <v>32</v>
      </c>
      <c r="Z763" s="78"/>
    </row>
    <row r="764" spans="1:26" s="70" customFormat="1" ht="24.95" customHeight="1">
      <c r="A764" s="80"/>
      <c r="B764" s="147">
        <v>45627</v>
      </c>
      <c r="C764" s="158" t="s">
        <v>35</v>
      </c>
      <c r="D764" s="59" t="s">
        <v>20</v>
      </c>
      <c r="E764" s="14" t="str">
        <f>IF(B633="","",LEFT(N764,3))</f>
        <v>VOB</v>
      </c>
      <c r="F764" s="111" t="s">
        <v>42</v>
      </c>
      <c r="G764" s="3" t="s">
        <v>26</v>
      </c>
      <c r="H764" s="111">
        <v>0.75</v>
      </c>
      <c r="I764" s="22" t="s">
        <v>43</v>
      </c>
      <c r="J764" s="21" t="s">
        <v>221</v>
      </c>
      <c r="K764" s="21"/>
      <c r="L764" s="55" t="s">
        <v>1329</v>
      </c>
      <c r="M764" s="150"/>
      <c r="N764" s="23" t="s">
        <v>1923</v>
      </c>
      <c r="O764" s="23" t="s">
        <v>263</v>
      </c>
      <c r="P764" s="45" t="s">
        <v>1621</v>
      </c>
      <c r="Q764" s="45">
        <v>3</v>
      </c>
      <c r="R764" s="54">
        <v>45644</v>
      </c>
      <c r="S764" s="54">
        <v>45645</v>
      </c>
      <c r="T764" s="45" t="s">
        <v>19</v>
      </c>
      <c r="U764" s="100">
        <v>3</v>
      </c>
      <c r="V764" s="159">
        <v>0</v>
      </c>
      <c r="W764" s="22" t="s">
        <v>40</v>
      </c>
      <c r="X764" s="22" t="str">
        <f t="shared" si="68"/>
        <v>D1-PEW-B-2Y0.75</v>
      </c>
      <c r="Y764" s="22" t="s">
        <v>32</v>
      </c>
      <c r="Z764" s="78"/>
    </row>
    <row r="765" spans="1:26" s="70" customFormat="1" ht="24.95" customHeight="1">
      <c r="A765" s="80"/>
      <c r="B765" s="147">
        <v>45627</v>
      </c>
      <c r="C765" s="158" t="s">
        <v>35</v>
      </c>
      <c r="D765" s="59" t="s">
        <v>20</v>
      </c>
      <c r="E765" s="14" t="str">
        <f>IF(B634="","",LEFT(N765,3))</f>
        <v>VOB</v>
      </c>
      <c r="F765" s="111" t="s">
        <v>42</v>
      </c>
      <c r="G765" s="3" t="s">
        <v>26</v>
      </c>
      <c r="H765" s="111">
        <v>0.75</v>
      </c>
      <c r="I765" s="22" t="s">
        <v>43</v>
      </c>
      <c r="J765" s="21" t="s">
        <v>221</v>
      </c>
      <c r="K765" s="21"/>
      <c r="L765" s="55" t="s">
        <v>1329</v>
      </c>
      <c r="M765" s="150"/>
      <c r="N765" s="23" t="s">
        <v>1924</v>
      </c>
      <c r="O765" s="23" t="s">
        <v>30</v>
      </c>
      <c r="P765" s="45" t="s">
        <v>1621</v>
      </c>
      <c r="Q765" s="45">
        <v>3</v>
      </c>
      <c r="R765" s="54">
        <v>45644</v>
      </c>
      <c r="S765" s="54">
        <v>45645</v>
      </c>
      <c r="T765" s="45" t="s">
        <v>19</v>
      </c>
      <c r="U765" s="100">
        <v>3</v>
      </c>
      <c r="V765" s="108">
        <v>0</v>
      </c>
      <c r="W765" s="22" t="s">
        <v>40</v>
      </c>
      <c r="X765" s="22" t="str">
        <f t="shared" si="68"/>
        <v>D1-PEW-B-2Y0.75</v>
      </c>
      <c r="Y765" s="22" t="s">
        <v>32</v>
      </c>
      <c r="Z765" s="78"/>
    </row>
    <row r="766" spans="1:26" s="70" customFormat="1" ht="24.95" customHeight="1">
      <c r="A766" s="80"/>
      <c r="B766" s="147">
        <v>45627</v>
      </c>
      <c r="C766" s="158" t="s">
        <v>35</v>
      </c>
      <c r="D766" s="59" t="s">
        <v>20</v>
      </c>
      <c r="E766" s="14" t="str">
        <f>IF(B635="","",LEFT(N766,3))</f>
        <v>V6A</v>
      </c>
      <c r="F766" s="111" t="s">
        <v>186</v>
      </c>
      <c r="G766" s="3" t="s">
        <v>26</v>
      </c>
      <c r="H766" s="111">
        <v>1.18</v>
      </c>
      <c r="I766" s="22" t="s">
        <v>187</v>
      </c>
      <c r="J766" s="21" t="s">
        <v>44</v>
      </c>
      <c r="K766" s="21"/>
      <c r="L766" s="55"/>
      <c r="M766" s="150"/>
      <c r="N766" s="23" t="s">
        <v>1925</v>
      </c>
      <c r="O766" s="23" t="s">
        <v>193</v>
      </c>
      <c r="P766" s="45" t="s">
        <v>1926</v>
      </c>
      <c r="Q766" s="45">
        <v>5</v>
      </c>
      <c r="R766" s="54">
        <v>45636</v>
      </c>
      <c r="S766" s="54">
        <v>45644</v>
      </c>
      <c r="T766" s="45" t="s">
        <v>19</v>
      </c>
      <c r="U766" s="100">
        <v>0</v>
      </c>
      <c r="V766" s="108">
        <v>5</v>
      </c>
      <c r="W766" s="22" t="s">
        <v>40</v>
      </c>
      <c r="X766" s="22" t="str">
        <f t="shared" si="68"/>
        <v>1HGZ-MA1.18</v>
      </c>
      <c r="Y766" s="22" t="s">
        <v>182</v>
      </c>
      <c r="Z766" s="78"/>
    </row>
    <row r="767" spans="1:26" s="70" customFormat="1" ht="24.95" customHeight="1">
      <c r="A767" s="80"/>
      <c r="B767" s="147">
        <v>45627</v>
      </c>
      <c r="C767" s="158" t="s">
        <v>35</v>
      </c>
      <c r="D767" s="59" t="s">
        <v>20</v>
      </c>
      <c r="E767" s="14" t="str">
        <f>IF(B637="","",LEFT(N767,3))</f>
        <v>11A</v>
      </c>
      <c r="F767" s="111" t="s">
        <v>251</v>
      </c>
      <c r="G767" s="15" t="s">
        <v>27</v>
      </c>
      <c r="H767" s="111">
        <v>0.83</v>
      </c>
      <c r="I767" s="22" t="s">
        <v>252</v>
      </c>
      <c r="J767" s="21" t="s">
        <v>562</v>
      </c>
      <c r="K767" s="21" t="s">
        <v>1179</v>
      </c>
      <c r="L767" s="55" t="s">
        <v>60</v>
      </c>
      <c r="M767" s="150"/>
      <c r="N767" s="23" t="s">
        <v>1931</v>
      </c>
      <c r="O767" s="23" t="s">
        <v>263</v>
      </c>
      <c r="P767" s="45">
        <v>2</v>
      </c>
      <c r="Q767" s="45">
        <v>1</v>
      </c>
      <c r="R767" s="54">
        <v>45631</v>
      </c>
      <c r="S767" s="54">
        <v>45645</v>
      </c>
      <c r="T767" s="45" t="s">
        <v>19</v>
      </c>
      <c r="U767" s="100">
        <v>1</v>
      </c>
      <c r="V767" s="108">
        <v>0</v>
      </c>
      <c r="W767" s="22" t="s">
        <v>40</v>
      </c>
      <c r="X767" s="22" t="str">
        <f t="shared" si="68"/>
        <v>D2-IDW-4E0.83</v>
      </c>
      <c r="Y767" s="22" t="s">
        <v>32</v>
      </c>
      <c r="Z767" s="78"/>
    </row>
    <row r="768" spans="1:26" s="70" customFormat="1" ht="24.95" customHeight="1">
      <c r="A768" s="80"/>
      <c r="B768" s="147">
        <v>45627</v>
      </c>
      <c r="C768" s="158" t="s">
        <v>35</v>
      </c>
      <c r="D768" s="59" t="s">
        <v>20</v>
      </c>
      <c r="E768" s="14" t="str">
        <f>IF(B638="","",LEFT(N768,3))</f>
        <v>12A</v>
      </c>
      <c r="F768" s="111" t="s">
        <v>165</v>
      </c>
      <c r="G768" s="15" t="s">
        <v>27</v>
      </c>
      <c r="H768" s="111">
        <v>1.81</v>
      </c>
      <c r="I768" s="22" t="s">
        <v>1397</v>
      </c>
      <c r="J768" s="21" t="s">
        <v>415</v>
      </c>
      <c r="K768" s="21" t="s">
        <v>1935</v>
      </c>
      <c r="L768" s="55" t="s">
        <v>1936</v>
      </c>
      <c r="M768" s="150"/>
      <c r="N768" s="23" t="s">
        <v>1937</v>
      </c>
      <c r="O768" s="23" t="s">
        <v>30</v>
      </c>
      <c r="P768" s="45" t="s">
        <v>38</v>
      </c>
      <c r="Q768" s="45">
        <v>5</v>
      </c>
      <c r="R768" s="54">
        <v>45635</v>
      </c>
      <c r="S768" s="54">
        <v>45645</v>
      </c>
      <c r="T768" s="45" t="s">
        <v>19</v>
      </c>
      <c r="U768" s="100">
        <v>5</v>
      </c>
      <c r="V768" s="108">
        <v>0</v>
      </c>
      <c r="W768" s="22" t="s">
        <v>40</v>
      </c>
      <c r="X768" s="22" t="str">
        <f t="shared" si="68"/>
        <v>2EIWAD-O1.81</v>
      </c>
      <c r="Y768" s="22" t="s">
        <v>32</v>
      </c>
      <c r="Z768" s="78"/>
    </row>
    <row r="769" spans="1:26" s="70" customFormat="1" ht="24.95" customHeight="1">
      <c r="A769" s="80"/>
      <c r="B769" s="147">
        <v>45627</v>
      </c>
      <c r="C769" s="158" t="s">
        <v>35</v>
      </c>
      <c r="D769" s="59" t="s">
        <v>20</v>
      </c>
      <c r="E769" s="14" t="str">
        <f>IF(B639="","",LEFT(N769,3))</f>
        <v>VOB</v>
      </c>
      <c r="F769" s="111" t="s">
        <v>259</v>
      </c>
      <c r="G769" s="3" t="s">
        <v>26</v>
      </c>
      <c r="H769" s="111">
        <v>0.6</v>
      </c>
      <c r="I769" s="22" t="s">
        <v>31</v>
      </c>
      <c r="J769" s="21" t="s">
        <v>299</v>
      </c>
      <c r="K769" s="55" t="s">
        <v>1938</v>
      </c>
      <c r="L769" s="55" t="s">
        <v>1939</v>
      </c>
      <c r="M769" s="150"/>
      <c r="N769" s="23" t="s">
        <v>1940</v>
      </c>
      <c r="O769" s="23" t="s">
        <v>30</v>
      </c>
      <c r="P769" s="45" t="s">
        <v>38</v>
      </c>
      <c r="Q769" s="45">
        <v>5</v>
      </c>
      <c r="R769" s="54">
        <v>45628</v>
      </c>
      <c r="S769" s="54">
        <v>45645</v>
      </c>
      <c r="T769" s="45" t="s">
        <v>19</v>
      </c>
      <c r="U769" s="100">
        <v>5</v>
      </c>
      <c r="V769" s="108">
        <v>0</v>
      </c>
      <c r="W769" s="22" t="s">
        <v>40</v>
      </c>
      <c r="X769" s="22" t="str">
        <f t="shared" si="68"/>
        <v>D1-PEW-B-2T0.6</v>
      </c>
      <c r="Y769" s="22" t="s">
        <v>32</v>
      </c>
      <c r="Z769" s="78"/>
    </row>
    <row r="770" spans="1:26" s="70" customFormat="1" ht="24.95" customHeight="1">
      <c r="A770" s="80"/>
      <c r="B770" s="147">
        <v>45627</v>
      </c>
      <c r="C770" s="158" t="s">
        <v>35</v>
      </c>
      <c r="D770" s="59" t="s">
        <v>20</v>
      </c>
      <c r="E770" s="14" t="str">
        <f>IF(B640="","",LEFT(N770,3))</f>
        <v>V4B</v>
      </c>
      <c r="F770" s="111" t="s">
        <v>1891</v>
      </c>
      <c r="G770" s="3" t="s">
        <v>26</v>
      </c>
      <c r="H770" s="111">
        <v>0.4</v>
      </c>
      <c r="I770" s="22" t="s">
        <v>31</v>
      </c>
      <c r="J770" s="21" t="s">
        <v>963</v>
      </c>
      <c r="K770" s="21"/>
      <c r="L770" s="55" t="s">
        <v>189</v>
      </c>
      <c r="M770" s="150"/>
      <c r="N770" s="23" t="s">
        <v>1897</v>
      </c>
      <c r="O770" s="23" t="s">
        <v>30</v>
      </c>
      <c r="P770" s="45" t="s">
        <v>1941</v>
      </c>
      <c r="Q770" s="45">
        <v>6</v>
      </c>
      <c r="R770" s="54">
        <v>45628</v>
      </c>
      <c r="S770" s="54">
        <v>45645</v>
      </c>
      <c r="T770" s="45" t="s">
        <v>19</v>
      </c>
      <c r="U770" s="100">
        <v>6</v>
      </c>
      <c r="V770" s="108">
        <v>0</v>
      </c>
      <c r="W770" s="22" t="s">
        <v>40</v>
      </c>
      <c r="X770" s="22" t="str">
        <f t="shared" si="68"/>
        <v>D2IDW-4B2Y0.4</v>
      </c>
      <c r="Y770" s="22" t="s">
        <v>32</v>
      </c>
      <c r="Z770" s="78"/>
    </row>
    <row r="771" spans="1:26" s="70" customFormat="1" ht="24.95" customHeight="1">
      <c r="A771" s="80"/>
      <c r="B771" s="147">
        <v>45627</v>
      </c>
      <c r="C771" s="158" t="s">
        <v>35</v>
      </c>
      <c r="D771" s="59" t="s">
        <v>20</v>
      </c>
      <c r="E771" s="14" t="str">
        <f>IF(B641="","",LEFT(N771,3))</f>
        <v>V6A</v>
      </c>
      <c r="F771" s="111" t="s">
        <v>186</v>
      </c>
      <c r="G771" s="3" t="s">
        <v>26</v>
      </c>
      <c r="H771" s="111">
        <v>1.18</v>
      </c>
      <c r="I771" s="22" t="s">
        <v>187</v>
      </c>
      <c r="J771" s="21" t="s">
        <v>44</v>
      </c>
      <c r="K771" s="21"/>
      <c r="L771" s="55"/>
      <c r="M771" s="150"/>
      <c r="N771" s="23" t="s">
        <v>1942</v>
      </c>
      <c r="O771" s="23" t="s">
        <v>39</v>
      </c>
      <c r="P771" s="45">
        <v>4</v>
      </c>
      <c r="Q771" s="45">
        <v>1</v>
      </c>
      <c r="R771" s="54">
        <v>45630</v>
      </c>
      <c r="S771" s="54">
        <v>45645</v>
      </c>
      <c r="T771" s="45" t="s">
        <v>19</v>
      </c>
      <c r="U771" s="100">
        <v>0</v>
      </c>
      <c r="V771" s="108">
        <v>1</v>
      </c>
      <c r="W771" s="22" t="s">
        <v>40</v>
      </c>
      <c r="X771" s="22" t="str">
        <f t="shared" si="68"/>
        <v>1HGZ-MA1.18</v>
      </c>
      <c r="Y771" s="22" t="s">
        <v>182</v>
      </c>
      <c r="Z771" s="78"/>
    </row>
    <row r="772" spans="1:26" s="70" customFormat="1" ht="24.95" customHeight="1">
      <c r="A772" s="80"/>
      <c r="B772" s="147">
        <v>45627</v>
      </c>
      <c r="C772" s="158" t="s">
        <v>35</v>
      </c>
      <c r="D772" s="59" t="s">
        <v>20</v>
      </c>
      <c r="E772" s="14" t="str">
        <f>IF(B642="","",LEFT(N772,3))</f>
        <v>V8B</v>
      </c>
      <c r="F772" s="111" t="s">
        <v>1943</v>
      </c>
      <c r="G772" s="3" t="s">
        <v>26</v>
      </c>
      <c r="H772" s="111">
        <v>0.65</v>
      </c>
      <c r="I772" s="22" t="s">
        <v>268</v>
      </c>
      <c r="J772" s="21" t="s">
        <v>1944</v>
      </c>
      <c r="K772" s="21"/>
      <c r="L772" s="55" t="s">
        <v>260</v>
      </c>
      <c r="M772" s="150"/>
      <c r="N772" s="23" t="s">
        <v>1945</v>
      </c>
      <c r="O772" s="23" t="s">
        <v>30</v>
      </c>
      <c r="P772" s="45">
        <v>3</v>
      </c>
      <c r="Q772" s="45">
        <v>1</v>
      </c>
      <c r="R772" s="54">
        <v>45635</v>
      </c>
      <c r="S772" s="54">
        <v>45642</v>
      </c>
      <c r="T772" s="45" t="s">
        <v>19</v>
      </c>
      <c r="U772" s="100">
        <v>0</v>
      </c>
      <c r="V772" s="108">
        <v>1</v>
      </c>
      <c r="W772" s="22" t="s">
        <v>40</v>
      </c>
      <c r="X772" s="22" t="str">
        <f t="shared" si="68"/>
        <v>1EIWAD0.65</v>
      </c>
      <c r="Y772" s="22" t="s">
        <v>182</v>
      </c>
      <c r="Z772" s="78"/>
    </row>
    <row r="773" spans="1:26" s="70" customFormat="1" ht="24.95" customHeight="1">
      <c r="A773" s="80"/>
      <c r="B773" s="147">
        <v>45627</v>
      </c>
      <c r="C773" s="158" t="s">
        <v>35</v>
      </c>
      <c r="D773" s="59" t="s">
        <v>20</v>
      </c>
      <c r="E773" s="14" t="str">
        <f>IF(B643="","",LEFT(N773,3))</f>
        <v>V6A</v>
      </c>
      <c r="F773" s="111" t="s">
        <v>186</v>
      </c>
      <c r="G773" s="3" t="s">
        <v>26</v>
      </c>
      <c r="H773" s="111">
        <v>1.18</v>
      </c>
      <c r="I773" s="22" t="s">
        <v>187</v>
      </c>
      <c r="J773" s="21" t="s">
        <v>44</v>
      </c>
      <c r="K773" s="21"/>
      <c r="L773" s="55" t="s">
        <v>46</v>
      </c>
      <c r="M773" s="150"/>
      <c r="N773" s="23" t="s">
        <v>1946</v>
      </c>
      <c r="O773" s="23" t="s">
        <v>263</v>
      </c>
      <c r="P773" s="45">
        <v>2.2999999999999998</v>
      </c>
      <c r="Q773" s="45">
        <v>2</v>
      </c>
      <c r="R773" s="54">
        <v>45633</v>
      </c>
      <c r="S773" s="54">
        <v>45642</v>
      </c>
      <c r="T773" s="45" t="s">
        <v>19</v>
      </c>
      <c r="U773" s="100">
        <v>0</v>
      </c>
      <c r="V773" s="108">
        <v>2</v>
      </c>
      <c r="W773" s="22" t="s">
        <v>40</v>
      </c>
      <c r="X773" s="22" t="str">
        <f t="shared" si="68"/>
        <v>1HGZ-MA1.18</v>
      </c>
      <c r="Y773" s="22" t="s">
        <v>182</v>
      </c>
      <c r="Z773" s="78"/>
    </row>
    <row r="774" spans="1:26" s="70" customFormat="1" ht="24.95" customHeight="1">
      <c r="A774" s="80"/>
      <c r="B774" s="147">
        <v>45627</v>
      </c>
      <c r="C774" s="158" t="s">
        <v>35</v>
      </c>
      <c r="D774" s="59" t="s">
        <v>20</v>
      </c>
      <c r="E774" s="14" t="str">
        <f>IF(B644="","",LEFT(N774,3))</f>
        <v>VOB</v>
      </c>
      <c r="F774" s="111" t="s">
        <v>259</v>
      </c>
      <c r="G774" s="15" t="s">
        <v>27</v>
      </c>
      <c r="H774" s="111">
        <v>0.6</v>
      </c>
      <c r="I774" s="22" t="s">
        <v>31</v>
      </c>
      <c r="J774" s="21" t="s">
        <v>1947</v>
      </c>
      <c r="K774" s="21" t="s">
        <v>1947</v>
      </c>
      <c r="L774" s="55" t="s">
        <v>1948</v>
      </c>
      <c r="M774" s="150"/>
      <c r="N774" s="23" t="s">
        <v>1949</v>
      </c>
      <c r="O774" s="23" t="s">
        <v>263</v>
      </c>
      <c r="P774" s="45" t="s">
        <v>38</v>
      </c>
      <c r="Q774" s="45">
        <v>5</v>
      </c>
      <c r="R774" s="54">
        <v>45628</v>
      </c>
      <c r="S774" s="54">
        <v>45645</v>
      </c>
      <c r="T774" s="45" t="s">
        <v>19</v>
      </c>
      <c r="U774" s="100">
        <v>5</v>
      </c>
      <c r="V774" s="108">
        <v>0</v>
      </c>
      <c r="W774" s="22" t="s">
        <v>40</v>
      </c>
      <c r="X774" s="22" t="str">
        <f t="shared" si="68"/>
        <v>D1-PEW-B-2T0.6</v>
      </c>
      <c r="Y774" s="22" t="s">
        <v>32</v>
      </c>
      <c r="Z774" s="78"/>
    </row>
    <row r="775" spans="1:26" s="70" customFormat="1" ht="24.95" customHeight="1">
      <c r="A775" s="80"/>
      <c r="B775" s="147">
        <v>45627</v>
      </c>
      <c r="C775" s="158" t="s">
        <v>35</v>
      </c>
      <c r="D775" s="59" t="s">
        <v>20</v>
      </c>
      <c r="E775" s="14" t="str">
        <f>IF(B645="","",LEFT(N775,3))</f>
        <v>V9A</v>
      </c>
      <c r="F775" s="111" t="s">
        <v>267</v>
      </c>
      <c r="G775" s="15" t="s">
        <v>27</v>
      </c>
      <c r="H775" s="111">
        <v>1.25</v>
      </c>
      <c r="I775" s="22" t="s">
        <v>268</v>
      </c>
      <c r="J775" s="21" t="s">
        <v>1950</v>
      </c>
      <c r="K775" s="21" t="s">
        <v>1951</v>
      </c>
      <c r="L775" s="55"/>
      <c r="M775" s="150"/>
      <c r="N775" s="23" t="s">
        <v>1952</v>
      </c>
      <c r="O775" s="23" t="s">
        <v>29</v>
      </c>
      <c r="P775" s="45" t="s">
        <v>349</v>
      </c>
      <c r="Q775" s="45">
        <v>7</v>
      </c>
      <c r="R775" s="54">
        <v>45635</v>
      </c>
      <c r="S775" s="54">
        <v>45645</v>
      </c>
      <c r="T775" s="45" t="s">
        <v>19</v>
      </c>
      <c r="U775" s="100">
        <v>7</v>
      </c>
      <c r="V775" s="108">
        <v>0</v>
      </c>
      <c r="W775" s="22" t="s">
        <v>40</v>
      </c>
      <c r="X775" s="22" t="str">
        <f t="shared" si="68"/>
        <v>1-ATZ-3001.25</v>
      </c>
      <c r="Y775" s="22" t="s">
        <v>32</v>
      </c>
      <c r="Z775" s="78"/>
    </row>
    <row r="776" spans="1:26" s="70" customFormat="1" ht="24.95" customHeight="1">
      <c r="A776" s="80"/>
      <c r="B776" s="147">
        <v>45627</v>
      </c>
      <c r="C776" s="158" t="s">
        <v>35</v>
      </c>
      <c r="D776" s="59" t="s">
        <v>20</v>
      </c>
      <c r="E776" s="14" t="str">
        <f>IF(B646="","",LEFT(N776,3))</f>
        <v>V6B</v>
      </c>
      <c r="F776" s="111" t="s">
        <v>165</v>
      </c>
      <c r="G776" s="15" t="s">
        <v>27</v>
      </c>
      <c r="H776" s="111">
        <v>1.65</v>
      </c>
      <c r="I776" s="22" t="s">
        <v>321</v>
      </c>
      <c r="J776" s="21" t="s">
        <v>1953</v>
      </c>
      <c r="K776" s="21" t="s">
        <v>1953</v>
      </c>
      <c r="L776" s="55" t="s">
        <v>208</v>
      </c>
      <c r="M776" s="150"/>
      <c r="N776" s="23" t="s">
        <v>1954</v>
      </c>
      <c r="O776" s="23" t="s">
        <v>30</v>
      </c>
      <c r="P776" s="45" t="s">
        <v>612</v>
      </c>
      <c r="Q776" s="45">
        <v>3</v>
      </c>
      <c r="R776" s="54">
        <v>45635</v>
      </c>
      <c r="S776" s="54">
        <v>45645</v>
      </c>
      <c r="T776" s="45" t="s">
        <v>19</v>
      </c>
      <c r="U776" s="100">
        <v>3</v>
      </c>
      <c r="V776" s="108">
        <v>0</v>
      </c>
      <c r="W776" s="22" t="s">
        <v>40</v>
      </c>
      <c r="X776" s="22" t="str">
        <f t="shared" si="68"/>
        <v>2EIWAD-O1.65</v>
      </c>
      <c r="Y776" s="22" t="s">
        <v>32</v>
      </c>
      <c r="Z776" s="78"/>
    </row>
    <row r="777" spans="1:26" s="70" customFormat="1" ht="24.95" customHeight="1">
      <c r="A777" s="80"/>
      <c r="B777" s="147">
        <v>45627</v>
      </c>
      <c r="C777" s="158" t="s">
        <v>35</v>
      </c>
      <c r="D777" s="59" t="s">
        <v>20</v>
      </c>
      <c r="E777" s="14" t="str">
        <f>IF(B647="","",LEFT(N777,3))</f>
        <v>11A</v>
      </c>
      <c r="F777" s="111" t="s">
        <v>251</v>
      </c>
      <c r="G777" s="3" t="s">
        <v>26</v>
      </c>
      <c r="H777" s="111">
        <v>0.83</v>
      </c>
      <c r="I777" s="22" t="s">
        <v>252</v>
      </c>
      <c r="J777" s="21" t="s">
        <v>350</v>
      </c>
      <c r="K777" s="21"/>
      <c r="L777" s="55" t="s">
        <v>1665</v>
      </c>
      <c r="M777" s="150"/>
      <c r="N777" s="23" t="s">
        <v>1955</v>
      </c>
      <c r="O777" s="23" t="s">
        <v>195</v>
      </c>
      <c r="P777" s="45">
        <v>3</v>
      </c>
      <c r="Q777" s="45">
        <v>1</v>
      </c>
      <c r="R777" s="54">
        <v>45635</v>
      </c>
      <c r="S777" s="54">
        <v>45645</v>
      </c>
      <c r="T777" s="45" t="s">
        <v>19</v>
      </c>
      <c r="U777" s="100">
        <v>1</v>
      </c>
      <c r="V777" s="108">
        <v>0</v>
      </c>
      <c r="W777" s="22" t="s">
        <v>40</v>
      </c>
      <c r="X777" s="22" t="str">
        <f t="shared" si="68"/>
        <v>D2-IDW-4E0.83</v>
      </c>
      <c r="Y777" s="22" t="s">
        <v>32</v>
      </c>
      <c r="Z777" s="78"/>
    </row>
    <row r="778" spans="1:26" s="70" customFormat="1" ht="24.95" customHeight="1">
      <c r="A778" s="80"/>
      <c r="B778" s="147">
        <v>45627</v>
      </c>
      <c r="C778" s="158" t="s">
        <v>35</v>
      </c>
      <c r="D778" s="59" t="s">
        <v>20</v>
      </c>
      <c r="E778" s="14" t="str">
        <f>IF(B648="","",LEFT(N778,3))</f>
        <v>V9B</v>
      </c>
      <c r="F778" s="111" t="s">
        <v>23</v>
      </c>
      <c r="G778" s="15" t="s">
        <v>27</v>
      </c>
      <c r="H778" s="111">
        <v>1.2</v>
      </c>
      <c r="I778" s="22" t="s">
        <v>25</v>
      </c>
      <c r="J778" s="21" t="s">
        <v>1720</v>
      </c>
      <c r="K778" s="21"/>
      <c r="L778" s="55" t="s">
        <v>1956</v>
      </c>
      <c r="M778" s="150"/>
      <c r="N778" s="23" t="s">
        <v>1957</v>
      </c>
      <c r="O778" s="23" t="s">
        <v>30</v>
      </c>
      <c r="P778" s="45" t="s">
        <v>349</v>
      </c>
      <c r="Q778" s="45">
        <v>7</v>
      </c>
      <c r="R778" s="54">
        <v>45631</v>
      </c>
      <c r="S778" s="54">
        <v>45645</v>
      </c>
      <c r="T778" s="45" t="s">
        <v>19</v>
      </c>
      <c r="U778" s="100">
        <v>7</v>
      </c>
      <c r="V778" s="108">
        <v>0</v>
      </c>
      <c r="W778" s="22" t="s">
        <v>40</v>
      </c>
      <c r="X778" s="22" t="str">
        <f t="shared" si="68"/>
        <v>0FBWSHC1.2</v>
      </c>
      <c r="Y778" s="22" t="s">
        <v>32</v>
      </c>
      <c r="Z778" s="78"/>
    </row>
    <row r="779" spans="1:26" s="70" customFormat="1" ht="24.95" customHeight="1">
      <c r="A779" s="80"/>
      <c r="B779" s="147">
        <v>45627</v>
      </c>
      <c r="C779" s="158" t="s">
        <v>35</v>
      </c>
      <c r="D779" s="59" t="s">
        <v>20</v>
      </c>
      <c r="E779" s="14" t="str">
        <f>IF(B649="","",LEFT(N779,3))</f>
        <v>V8A</v>
      </c>
      <c r="F779" s="111" t="s">
        <v>343</v>
      </c>
      <c r="G779" s="3" t="s">
        <v>26</v>
      </c>
      <c r="H779" s="111">
        <v>1.35</v>
      </c>
      <c r="I779" s="22" t="s">
        <v>25</v>
      </c>
      <c r="J779" s="21" t="s">
        <v>1959</v>
      </c>
      <c r="K779" s="21" t="s">
        <v>1960</v>
      </c>
      <c r="L779" s="55" t="s">
        <v>208</v>
      </c>
      <c r="M779" s="150"/>
      <c r="N779" s="23" t="s">
        <v>1958</v>
      </c>
      <c r="O779" s="23" t="s">
        <v>39</v>
      </c>
      <c r="P779" s="45">
        <v>1</v>
      </c>
      <c r="Q779" s="45">
        <v>1</v>
      </c>
      <c r="R779" s="54">
        <v>45638</v>
      </c>
      <c r="S779" s="54">
        <v>45643</v>
      </c>
      <c r="T779" s="45" t="s">
        <v>19</v>
      </c>
      <c r="U779" s="100">
        <v>0</v>
      </c>
      <c r="V779" s="108">
        <v>1</v>
      </c>
      <c r="W779" s="22" t="s">
        <v>40</v>
      </c>
      <c r="X779" s="22" t="str">
        <f t="shared" si="68"/>
        <v>1AIWP1.35</v>
      </c>
      <c r="Y779" s="22" t="s">
        <v>182</v>
      </c>
      <c r="Z779" s="78"/>
    </row>
    <row r="780" spans="1:26" s="70" customFormat="1" ht="24.95" customHeight="1">
      <c r="A780" s="80"/>
      <c r="B780" s="147">
        <v>45627</v>
      </c>
      <c r="C780" s="158" t="s">
        <v>35</v>
      </c>
      <c r="D780" s="59" t="s">
        <v>20</v>
      </c>
      <c r="E780" s="14" t="str">
        <f>IF(B650="","",LEFT(N780,3))</f>
        <v>V6A</v>
      </c>
      <c r="F780" s="111" t="s">
        <v>186</v>
      </c>
      <c r="G780" s="15" t="s">
        <v>27</v>
      </c>
      <c r="H780" s="111">
        <v>1.18</v>
      </c>
      <c r="I780" s="22" t="s">
        <v>187</v>
      </c>
      <c r="J780" s="21" t="s">
        <v>896</v>
      </c>
      <c r="K780" s="21" t="s">
        <v>896</v>
      </c>
      <c r="L780" s="55" t="s">
        <v>1961</v>
      </c>
      <c r="M780" s="150"/>
      <c r="N780" s="23" t="s">
        <v>1962</v>
      </c>
      <c r="O780" s="23" t="s">
        <v>30</v>
      </c>
      <c r="P780" s="45" t="s">
        <v>38</v>
      </c>
      <c r="Q780" s="45">
        <v>5</v>
      </c>
      <c r="R780" s="54">
        <v>45640</v>
      </c>
      <c r="S780" s="54">
        <v>45645</v>
      </c>
      <c r="T780" s="45" t="s">
        <v>19</v>
      </c>
      <c r="U780" s="100">
        <v>5</v>
      </c>
      <c r="V780" s="108">
        <v>0</v>
      </c>
      <c r="W780" s="22" t="s">
        <v>40</v>
      </c>
      <c r="X780" s="22" t="str">
        <f t="shared" si="68"/>
        <v>1HGZ-MA1.18</v>
      </c>
      <c r="Y780" s="22" t="s">
        <v>32</v>
      </c>
      <c r="Z780" s="78"/>
    </row>
    <row r="781" spans="1:26" s="70" customFormat="1" ht="24.95" customHeight="1">
      <c r="A781" s="80"/>
      <c r="B781" s="147">
        <v>45627</v>
      </c>
      <c r="C781" s="158" t="s">
        <v>35</v>
      </c>
      <c r="D781" s="59" t="s">
        <v>20</v>
      </c>
      <c r="E781" s="14" t="str">
        <f>IF(B651="","",LEFT(N781,3))</f>
        <v>11A</v>
      </c>
      <c r="F781" s="111" t="s">
        <v>24</v>
      </c>
      <c r="G781" s="15" t="s">
        <v>27</v>
      </c>
      <c r="H781" s="111">
        <v>0.8</v>
      </c>
      <c r="I781" s="22" t="s">
        <v>1397</v>
      </c>
      <c r="J781" s="21" t="s">
        <v>47</v>
      </c>
      <c r="K781" s="21" t="s">
        <v>1963</v>
      </c>
      <c r="L781" s="55" t="s">
        <v>1191</v>
      </c>
      <c r="M781" s="150"/>
      <c r="N781" s="23" t="s">
        <v>1964</v>
      </c>
      <c r="O781" s="23" t="s">
        <v>30</v>
      </c>
      <c r="P781" s="45">
        <v>1</v>
      </c>
      <c r="Q781" s="45">
        <v>1</v>
      </c>
      <c r="R781" s="54">
        <v>45639</v>
      </c>
      <c r="S781" s="54">
        <v>45645</v>
      </c>
      <c r="T781" s="45" t="s">
        <v>19</v>
      </c>
      <c r="U781" s="100">
        <v>1</v>
      </c>
      <c r="V781" s="108">
        <v>0</v>
      </c>
      <c r="W781" s="22" t="s">
        <v>40</v>
      </c>
      <c r="X781" s="22" t="str">
        <f t="shared" si="68"/>
        <v>2PEW0.8</v>
      </c>
      <c r="Y781" s="22" t="s">
        <v>32</v>
      </c>
      <c r="Z781" s="78"/>
    </row>
    <row r="782" spans="1:26" s="70" customFormat="1" ht="24.95" customHeight="1">
      <c r="A782" s="80"/>
      <c r="B782" s="147">
        <v>45627</v>
      </c>
      <c r="C782" s="158" t="s">
        <v>35</v>
      </c>
      <c r="D782" s="59" t="s">
        <v>20</v>
      </c>
      <c r="E782" s="14" t="str">
        <f>IF(B652="","",LEFT(N782,3))</f>
        <v>11A</v>
      </c>
      <c r="F782" s="111" t="s">
        <v>251</v>
      </c>
      <c r="G782" s="15" t="s">
        <v>27</v>
      </c>
      <c r="H782" s="111">
        <v>0.83</v>
      </c>
      <c r="I782" s="22" t="s">
        <v>252</v>
      </c>
      <c r="J782" s="21" t="s">
        <v>47</v>
      </c>
      <c r="K782" s="21" t="s">
        <v>47</v>
      </c>
      <c r="L782" s="55" t="s">
        <v>60</v>
      </c>
      <c r="M782" s="150"/>
      <c r="N782" s="23" t="s">
        <v>1931</v>
      </c>
      <c r="O782" s="23" t="s">
        <v>30</v>
      </c>
      <c r="P782" s="45">
        <v>1</v>
      </c>
      <c r="Q782" s="45">
        <v>1</v>
      </c>
      <c r="R782" s="54">
        <v>45631</v>
      </c>
      <c r="S782" s="54">
        <v>45645</v>
      </c>
      <c r="T782" s="45" t="s">
        <v>19</v>
      </c>
      <c r="U782" s="100">
        <v>1</v>
      </c>
      <c r="V782" s="108">
        <v>0</v>
      </c>
      <c r="W782" s="22" t="s">
        <v>40</v>
      </c>
      <c r="X782" s="22" t="str">
        <f t="shared" si="68"/>
        <v>D2-IDW-4E0.83</v>
      </c>
      <c r="Y782" s="22" t="s">
        <v>32</v>
      </c>
      <c r="Z782" s="78"/>
    </row>
    <row r="783" spans="1:26" s="70" customFormat="1" ht="24.95" customHeight="1">
      <c r="A783" s="80"/>
      <c r="B783" s="147">
        <v>45627</v>
      </c>
      <c r="C783" s="158" t="s">
        <v>35</v>
      </c>
      <c r="D783" s="59" t="s">
        <v>20</v>
      </c>
      <c r="E783" s="14" t="str">
        <f>IF(B653="","",LEFT(N783,3))</f>
        <v>11A</v>
      </c>
      <c r="F783" s="111" t="s">
        <v>251</v>
      </c>
      <c r="G783" s="3" t="s">
        <v>26</v>
      </c>
      <c r="H783" s="111">
        <v>0.83</v>
      </c>
      <c r="I783" s="22" t="s">
        <v>252</v>
      </c>
      <c r="J783" s="21" t="s">
        <v>203</v>
      </c>
      <c r="K783" s="21" t="s">
        <v>203</v>
      </c>
      <c r="L783" s="55"/>
      <c r="M783" s="150"/>
      <c r="N783" s="23" t="s">
        <v>1931</v>
      </c>
      <c r="O783" s="23" t="s">
        <v>29</v>
      </c>
      <c r="P783" s="45">
        <v>1</v>
      </c>
      <c r="Q783" s="45">
        <v>1</v>
      </c>
      <c r="R783" s="54">
        <v>45631</v>
      </c>
      <c r="S783" s="54">
        <v>45645</v>
      </c>
      <c r="T783" s="45" t="s">
        <v>19</v>
      </c>
      <c r="U783" s="100">
        <v>1</v>
      </c>
      <c r="V783" s="108">
        <v>0</v>
      </c>
      <c r="W783" s="22" t="s">
        <v>40</v>
      </c>
      <c r="X783" s="22" t="str">
        <f t="shared" si="68"/>
        <v>D2-IDW-4E0.83</v>
      </c>
      <c r="Y783" s="22" t="s">
        <v>32</v>
      </c>
      <c r="Z783" s="78"/>
    </row>
    <row r="784" spans="1:26" s="70" customFormat="1" ht="24.95" customHeight="1">
      <c r="A784" s="80"/>
      <c r="B784" s="147">
        <v>45627</v>
      </c>
      <c r="C784" s="158" t="s">
        <v>35</v>
      </c>
      <c r="D784" s="59" t="s">
        <v>20</v>
      </c>
      <c r="E784" s="14" t="str">
        <f>IF(B654="","",LEFT(N784,3))</f>
        <v>V6A</v>
      </c>
      <c r="F784" s="111" t="s">
        <v>186</v>
      </c>
      <c r="G784" s="3" t="s">
        <v>26</v>
      </c>
      <c r="H784" s="111">
        <v>1.18</v>
      </c>
      <c r="I784" s="22" t="s">
        <v>187</v>
      </c>
      <c r="J784" s="21" t="s">
        <v>1976</v>
      </c>
      <c r="K784" s="21"/>
      <c r="L784" s="55"/>
      <c r="M784" s="150"/>
      <c r="N784" s="23" t="s">
        <v>1977</v>
      </c>
      <c r="O784" s="23" t="s">
        <v>263</v>
      </c>
      <c r="P784" s="45">
        <v>2</v>
      </c>
      <c r="Q784" s="45">
        <v>1</v>
      </c>
      <c r="R784" s="54">
        <v>45635</v>
      </c>
      <c r="S784" s="54">
        <v>45649</v>
      </c>
      <c r="T784" s="45" t="s">
        <v>19</v>
      </c>
      <c r="U784" s="100">
        <v>0</v>
      </c>
      <c r="V784" s="108">
        <v>1</v>
      </c>
      <c r="W784" s="22" t="s">
        <v>40</v>
      </c>
      <c r="X784" s="22" t="str">
        <f t="shared" si="68"/>
        <v>1HGZ-MA1.18</v>
      </c>
      <c r="Y784" s="22" t="s">
        <v>182</v>
      </c>
      <c r="Z784" s="78"/>
    </row>
    <row r="785" spans="1:26" s="70" customFormat="1" ht="24.95" customHeight="1">
      <c r="A785" s="80"/>
      <c r="B785" s="147">
        <v>45627</v>
      </c>
      <c r="C785" s="158" t="s">
        <v>35</v>
      </c>
      <c r="D785" s="59" t="s">
        <v>20</v>
      </c>
      <c r="E785" s="14" t="str">
        <f>IF(B655="","",LEFT(N785,3))</f>
        <v>V6A</v>
      </c>
      <c r="F785" s="111" t="s">
        <v>186</v>
      </c>
      <c r="G785" s="3" t="s">
        <v>26</v>
      </c>
      <c r="H785" s="111">
        <v>1.18</v>
      </c>
      <c r="I785" s="22" t="s">
        <v>187</v>
      </c>
      <c r="J785" s="21" t="s">
        <v>1978</v>
      </c>
      <c r="K785" s="21"/>
      <c r="L785" s="55" t="s">
        <v>189</v>
      </c>
      <c r="M785" s="150"/>
      <c r="N785" s="23" t="s">
        <v>1979</v>
      </c>
      <c r="O785" s="23" t="s">
        <v>198</v>
      </c>
      <c r="P785" s="45" t="s">
        <v>1980</v>
      </c>
      <c r="Q785" s="45">
        <v>4</v>
      </c>
      <c r="R785" s="54">
        <v>45634</v>
      </c>
      <c r="S785" s="54">
        <v>45649</v>
      </c>
      <c r="T785" s="45" t="s">
        <v>19</v>
      </c>
      <c r="U785" s="100">
        <v>0</v>
      </c>
      <c r="V785" s="108">
        <v>4</v>
      </c>
      <c r="W785" s="22" t="s">
        <v>40</v>
      </c>
      <c r="X785" s="22" t="str">
        <f t="shared" si="68"/>
        <v>1HGZ-MA1.18</v>
      </c>
      <c r="Y785" s="22" t="s">
        <v>182</v>
      </c>
      <c r="Z785" s="78"/>
    </row>
    <row r="786" spans="1:26" s="70" customFormat="1" ht="24.95" customHeight="1">
      <c r="A786" s="80"/>
      <c r="B786" s="147">
        <v>45627</v>
      </c>
      <c r="C786" s="158" t="s">
        <v>35</v>
      </c>
      <c r="D786" s="59" t="s">
        <v>20</v>
      </c>
      <c r="E786" s="14" t="str">
        <f>IF(B656="","",LEFT(N786,3))</f>
        <v>VOB</v>
      </c>
      <c r="F786" s="111" t="s">
        <v>42</v>
      </c>
      <c r="G786" s="15" t="s">
        <v>27</v>
      </c>
      <c r="H786" s="111">
        <v>0.75</v>
      </c>
      <c r="I786" s="22" t="s">
        <v>43</v>
      </c>
      <c r="J786" s="21" t="s">
        <v>1981</v>
      </c>
      <c r="K786" s="21" t="s">
        <v>1982</v>
      </c>
      <c r="L786" s="55" t="s">
        <v>809</v>
      </c>
      <c r="M786" s="150"/>
      <c r="N786" s="23" t="s">
        <v>1983</v>
      </c>
      <c r="O786" s="23" t="s">
        <v>195</v>
      </c>
      <c r="P786" s="45" t="s">
        <v>38</v>
      </c>
      <c r="Q786" s="45">
        <v>5</v>
      </c>
      <c r="R786" s="54">
        <v>45643</v>
      </c>
      <c r="S786" s="54">
        <v>45646</v>
      </c>
      <c r="T786" s="45" t="s">
        <v>19</v>
      </c>
      <c r="U786" s="100">
        <v>5</v>
      </c>
      <c r="V786" s="108">
        <v>0</v>
      </c>
      <c r="W786" s="22" t="s">
        <v>40</v>
      </c>
      <c r="X786" s="22" t="str">
        <f t="shared" si="68"/>
        <v>D1-PEW-B-2Y0.75</v>
      </c>
      <c r="Y786" s="22" t="s">
        <v>32</v>
      </c>
      <c r="Z786" s="78"/>
    </row>
    <row r="787" spans="1:26" s="70" customFormat="1" ht="24.95" customHeight="1">
      <c r="A787" s="80"/>
      <c r="B787" s="147">
        <v>45627</v>
      </c>
      <c r="C787" s="158" t="s">
        <v>35</v>
      </c>
      <c r="D787" s="59" t="s">
        <v>20</v>
      </c>
      <c r="E787" s="14" t="str">
        <f>IF(B657="","",LEFT(N787,3))</f>
        <v>V6B</v>
      </c>
      <c r="F787" s="111" t="s">
        <v>165</v>
      </c>
      <c r="G787" s="15" t="s">
        <v>27</v>
      </c>
      <c r="H787" s="111">
        <v>1.65</v>
      </c>
      <c r="I787" s="22" t="s">
        <v>321</v>
      </c>
      <c r="J787" s="21" t="s">
        <v>1984</v>
      </c>
      <c r="K787" s="21" t="s">
        <v>1984</v>
      </c>
      <c r="L787" s="55" t="s">
        <v>1985</v>
      </c>
      <c r="M787" s="150"/>
      <c r="N787" s="23" t="s">
        <v>1986</v>
      </c>
      <c r="O787" s="23" t="s">
        <v>30</v>
      </c>
      <c r="P787" s="45" t="s">
        <v>1987</v>
      </c>
      <c r="Q787" s="45">
        <v>3</v>
      </c>
      <c r="R787" s="54">
        <v>45633</v>
      </c>
      <c r="S787" s="54">
        <v>45650</v>
      </c>
      <c r="T787" s="45" t="s">
        <v>19</v>
      </c>
      <c r="U787" s="100">
        <v>3</v>
      </c>
      <c r="V787" s="108">
        <v>0</v>
      </c>
      <c r="W787" s="22" t="s">
        <v>40</v>
      </c>
      <c r="X787" s="22" t="str">
        <f t="shared" si="68"/>
        <v>2EIWAD-O1.65</v>
      </c>
      <c r="Y787" s="22" t="s">
        <v>32</v>
      </c>
      <c r="Z787" s="78"/>
    </row>
    <row r="788" spans="1:26" s="70" customFormat="1" ht="24.95" customHeight="1">
      <c r="A788" s="80"/>
      <c r="B788" s="147">
        <v>45627</v>
      </c>
      <c r="C788" s="158" t="s">
        <v>35</v>
      </c>
      <c r="D788" s="59" t="s">
        <v>20</v>
      </c>
      <c r="E788" s="14" t="str">
        <f>IF(B658="","",LEFT(N788,3))</f>
        <v>VOB</v>
      </c>
      <c r="F788" s="111" t="s">
        <v>42</v>
      </c>
      <c r="G788" s="3" t="s">
        <v>26</v>
      </c>
      <c r="H788" s="111">
        <v>0.7</v>
      </c>
      <c r="I788" s="22" t="s">
        <v>43</v>
      </c>
      <c r="J788" s="21" t="s">
        <v>360</v>
      </c>
      <c r="K788" s="21"/>
      <c r="L788" s="55"/>
      <c r="M788" s="150"/>
      <c r="N788" s="23" t="s">
        <v>1990</v>
      </c>
      <c r="O788" s="23" t="s">
        <v>382</v>
      </c>
      <c r="P788" s="45" t="s">
        <v>365</v>
      </c>
      <c r="Q788" s="45">
        <v>10</v>
      </c>
      <c r="R788" s="54">
        <v>45648</v>
      </c>
      <c r="S788" s="54">
        <v>45652</v>
      </c>
      <c r="T788" s="45" t="s">
        <v>19</v>
      </c>
      <c r="U788" s="100">
        <v>10</v>
      </c>
      <c r="V788" s="108">
        <v>0</v>
      </c>
      <c r="W788" s="22" t="s">
        <v>40</v>
      </c>
      <c r="X788" s="22" t="str">
        <f t="shared" si="68"/>
        <v>D1-PEW-B-2Y0.7</v>
      </c>
      <c r="Y788" s="22" t="s">
        <v>32</v>
      </c>
      <c r="Z788" s="78"/>
    </row>
    <row r="789" spans="1:26" s="70" customFormat="1" ht="24.95" customHeight="1">
      <c r="A789" s="80"/>
      <c r="B789" s="147">
        <v>45627</v>
      </c>
      <c r="C789" s="158" t="s">
        <v>35</v>
      </c>
      <c r="D789" s="59" t="s">
        <v>20</v>
      </c>
      <c r="E789" s="14" t="str">
        <f>IF(B659="","",LEFT(N789,3))</f>
        <v>V6B</v>
      </c>
      <c r="F789" s="111" t="s">
        <v>186</v>
      </c>
      <c r="G789" s="3" t="s">
        <v>26</v>
      </c>
      <c r="H789" s="111">
        <v>1.18</v>
      </c>
      <c r="I789" s="22" t="s">
        <v>187</v>
      </c>
      <c r="J789" s="21" t="s">
        <v>1991</v>
      </c>
      <c r="K789" s="21"/>
      <c r="L789" s="55" t="s">
        <v>208</v>
      </c>
      <c r="M789" s="150"/>
      <c r="N789" s="23" t="s">
        <v>1992</v>
      </c>
      <c r="O789" s="23" t="s">
        <v>263</v>
      </c>
      <c r="P789" s="45">
        <v>1</v>
      </c>
      <c r="Q789" s="45">
        <v>1</v>
      </c>
      <c r="R789" s="54">
        <v>45642</v>
      </c>
      <c r="S789" s="54">
        <v>45648</v>
      </c>
      <c r="T789" s="45" t="s">
        <v>19</v>
      </c>
      <c r="U789" s="100">
        <v>0</v>
      </c>
      <c r="V789" s="108">
        <v>1</v>
      </c>
      <c r="W789" s="22" t="s">
        <v>40</v>
      </c>
      <c r="X789" s="22" t="str">
        <f t="shared" si="68"/>
        <v>1HGZ-MA1.18</v>
      </c>
      <c r="Y789" s="22" t="s">
        <v>182</v>
      </c>
      <c r="Z789" s="78"/>
    </row>
    <row r="790" spans="1:26" s="70" customFormat="1" ht="24.95" customHeight="1">
      <c r="A790" s="80"/>
      <c r="B790" s="147">
        <v>45627</v>
      </c>
      <c r="C790" s="158" t="s">
        <v>35</v>
      </c>
      <c r="D790" s="59" t="s">
        <v>20</v>
      </c>
      <c r="E790" s="14" t="str">
        <f>IF(B660="","",LEFT(N790,3))</f>
        <v>VOB</v>
      </c>
      <c r="F790" s="111" t="s">
        <v>42</v>
      </c>
      <c r="G790" s="3" t="s">
        <v>26</v>
      </c>
      <c r="H790" s="111">
        <v>0.75</v>
      </c>
      <c r="I790" s="22" t="s">
        <v>43</v>
      </c>
      <c r="J790" s="21" t="s">
        <v>188</v>
      </c>
      <c r="K790" s="21"/>
      <c r="L790" s="55"/>
      <c r="M790" s="150"/>
      <c r="N790" s="23" t="s">
        <v>1993</v>
      </c>
      <c r="O790" s="23" t="s">
        <v>263</v>
      </c>
      <c r="P790" s="45">
        <v>2</v>
      </c>
      <c r="Q790" s="45">
        <v>1</v>
      </c>
      <c r="R790" s="54">
        <v>45637</v>
      </c>
      <c r="S790" s="54">
        <v>45652</v>
      </c>
      <c r="T790" s="45" t="s">
        <v>19</v>
      </c>
      <c r="U790" s="100">
        <v>0</v>
      </c>
      <c r="V790" s="108">
        <v>1</v>
      </c>
      <c r="W790" s="22" t="s">
        <v>40</v>
      </c>
      <c r="X790" s="22" t="str">
        <f t="shared" si="68"/>
        <v>D1-PEW-B-2Y0.75</v>
      </c>
      <c r="Y790" s="22" t="s">
        <v>182</v>
      </c>
      <c r="Z790" s="78"/>
    </row>
    <row r="791" spans="1:26" s="70" customFormat="1" ht="24.95" customHeight="1">
      <c r="A791" s="80"/>
      <c r="B791" s="147">
        <v>45627</v>
      </c>
      <c r="C791" s="158" t="s">
        <v>35</v>
      </c>
      <c r="D791" s="59" t="s">
        <v>20</v>
      </c>
      <c r="E791" s="14" t="str">
        <f>IF(B661="","",LEFT(N791,3))</f>
        <v>V8A</v>
      </c>
      <c r="F791" s="111" t="s">
        <v>343</v>
      </c>
      <c r="G791" s="15" t="s">
        <v>27</v>
      </c>
      <c r="H791" s="111">
        <v>1.35</v>
      </c>
      <c r="I791" s="22" t="s">
        <v>25</v>
      </c>
      <c r="J791" s="55" t="s">
        <v>1994</v>
      </c>
      <c r="K791" s="21" t="s">
        <v>1995</v>
      </c>
      <c r="L791" s="55" t="s">
        <v>1996</v>
      </c>
      <c r="M791" s="150"/>
      <c r="N791" s="23" t="s">
        <v>1997</v>
      </c>
      <c r="O791" s="23" t="s">
        <v>29</v>
      </c>
      <c r="P791" s="45">
        <v>1</v>
      </c>
      <c r="Q791" s="45">
        <v>1</v>
      </c>
      <c r="R791" s="54">
        <v>45634</v>
      </c>
      <c r="S791" s="54">
        <v>45653</v>
      </c>
      <c r="T791" s="45" t="s">
        <v>19</v>
      </c>
      <c r="U791" s="100">
        <v>0</v>
      </c>
      <c r="V791" s="108">
        <v>1</v>
      </c>
      <c r="W791" s="22" t="s">
        <v>40</v>
      </c>
      <c r="X791" s="22" t="str">
        <f t="shared" si="68"/>
        <v>1AIWP1.35</v>
      </c>
      <c r="Y791" s="22" t="s">
        <v>182</v>
      </c>
      <c r="Z791" s="78"/>
    </row>
    <row r="792" spans="1:26" s="70" customFormat="1" ht="24.95" customHeight="1">
      <c r="A792" s="80"/>
      <c r="B792" s="147">
        <v>45627</v>
      </c>
      <c r="C792" s="158" t="s">
        <v>35</v>
      </c>
      <c r="D792" s="59" t="s">
        <v>20</v>
      </c>
      <c r="E792" s="14" t="str">
        <f>IF(B662="","",LEFT(N792,3))</f>
        <v>11B</v>
      </c>
      <c r="F792" s="111" t="s">
        <v>42</v>
      </c>
      <c r="G792" s="15" t="s">
        <v>27</v>
      </c>
      <c r="H792" s="111">
        <v>0.75</v>
      </c>
      <c r="I792" s="22" t="s">
        <v>43</v>
      </c>
      <c r="J792" s="21" t="s">
        <v>562</v>
      </c>
      <c r="K792" s="21" t="s">
        <v>562</v>
      </c>
      <c r="L792" s="55" t="s">
        <v>60</v>
      </c>
      <c r="M792" s="150"/>
      <c r="N792" s="23" t="s">
        <v>1998</v>
      </c>
      <c r="O792" s="23" t="s">
        <v>30</v>
      </c>
      <c r="P792" s="45">
        <v>2.2999999999999998</v>
      </c>
      <c r="Q792" s="45">
        <v>2</v>
      </c>
      <c r="R792" s="54">
        <v>45632</v>
      </c>
      <c r="S792" s="54">
        <v>45653</v>
      </c>
      <c r="T792" s="45" t="s">
        <v>19</v>
      </c>
      <c r="U792" s="100">
        <v>1</v>
      </c>
      <c r="V792" s="108">
        <v>1</v>
      </c>
      <c r="W792" s="22" t="s">
        <v>40</v>
      </c>
      <c r="X792" s="22" t="str">
        <f t="shared" si="68"/>
        <v>D1-PEW-B-2Y0.75</v>
      </c>
      <c r="Y792" s="160" t="s">
        <v>1999</v>
      </c>
      <c r="Z792" s="78"/>
    </row>
    <row r="793" spans="1:26" s="70" customFormat="1" ht="24.95" customHeight="1">
      <c r="A793" s="80"/>
      <c r="B793" s="147">
        <v>45627</v>
      </c>
      <c r="C793" s="163" t="s">
        <v>35</v>
      </c>
      <c r="D793" s="22" t="s">
        <v>20</v>
      </c>
      <c r="E793" s="14" t="str">
        <f>IF(B663="","",LEFT(N793,3))</f>
        <v>V9B</v>
      </c>
      <c r="F793" s="111" t="s">
        <v>23</v>
      </c>
      <c r="G793" s="3" t="s">
        <v>26</v>
      </c>
      <c r="H793" s="111">
        <v>0.95</v>
      </c>
      <c r="I793" s="22" t="s">
        <v>25</v>
      </c>
      <c r="J793" s="21" t="s">
        <v>2000</v>
      </c>
      <c r="K793" s="21"/>
      <c r="L793" s="55"/>
      <c r="M793" s="150"/>
      <c r="N793" s="23" t="s">
        <v>2001</v>
      </c>
      <c r="O793" s="23" t="s">
        <v>29</v>
      </c>
      <c r="P793" s="45">
        <v>2</v>
      </c>
      <c r="Q793" s="45">
        <v>1</v>
      </c>
      <c r="R793" s="54">
        <v>45652</v>
      </c>
      <c r="S793" s="54">
        <v>45656</v>
      </c>
      <c r="T793" s="45" t="s">
        <v>19</v>
      </c>
      <c r="U793" s="100">
        <v>1</v>
      </c>
      <c r="V793" s="108">
        <v>0</v>
      </c>
      <c r="W793" s="22" t="s">
        <v>40</v>
      </c>
      <c r="X793" s="22" t="str">
        <f t="shared" si="68"/>
        <v>0FBWSHC0.95</v>
      </c>
      <c r="Y793" s="22" t="s">
        <v>32</v>
      </c>
      <c r="Z793" s="78"/>
    </row>
    <row r="794" spans="1:26" s="70" customFormat="1" ht="24.95" customHeight="1">
      <c r="A794" s="80"/>
      <c r="B794" s="147">
        <v>45627</v>
      </c>
      <c r="C794" s="163" t="s">
        <v>35</v>
      </c>
      <c r="D794" s="22" t="s">
        <v>20</v>
      </c>
      <c r="E794" s="14" t="str">
        <f>IF(B664="","",LEFT(N794,3))</f>
        <v>VOB</v>
      </c>
      <c r="F794" s="111" t="s">
        <v>42</v>
      </c>
      <c r="G794" s="15" t="s">
        <v>27</v>
      </c>
      <c r="H794" s="111">
        <v>0.75</v>
      </c>
      <c r="I794" s="22" t="s">
        <v>43</v>
      </c>
      <c r="J794" s="21" t="s">
        <v>1981</v>
      </c>
      <c r="K794" s="21" t="s">
        <v>2005</v>
      </c>
      <c r="L794" s="55" t="s">
        <v>60</v>
      </c>
      <c r="M794" s="150"/>
      <c r="N794" s="23" t="s">
        <v>2006</v>
      </c>
      <c r="O794" s="23" t="s">
        <v>39</v>
      </c>
      <c r="P794" s="45" t="s">
        <v>38</v>
      </c>
      <c r="Q794" s="45">
        <v>5</v>
      </c>
      <c r="R794" s="54">
        <v>46010</v>
      </c>
      <c r="S794" s="54">
        <v>46022</v>
      </c>
      <c r="T794" s="45" t="s">
        <v>19</v>
      </c>
      <c r="U794" s="100">
        <v>5</v>
      </c>
      <c r="V794" s="108">
        <v>0</v>
      </c>
      <c r="W794" s="22" t="s">
        <v>40</v>
      </c>
      <c r="X794" s="22" t="str">
        <f t="shared" si="68"/>
        <v>D1-PEW-B-2Y0.75</v>
      </c>
      <c r="Y794" s="22" t="s">
        <v>32</v>
      </c>
      <c r="Z794" s="78"/>
    </row>
    <row r="795" spans="1:26" s="70" customFormat="1" ht="24.95" customHeight="1">
      <c r="A795" s="80"/>
      <c r="B795" s="147">
        <v>45627</v>
      </c>
      <c r="C795" s="163" t="s">
        <v>35</v>
      </c>
      <c r="D795" s="22" t="s">
        <v>20</v>
      </c>
      <c r="E795" s="14" t="str">
        <f>IF(B665="","",LEFT(N795,3))</f>
        <v>VOB</v>
      </c>
      <c r="F795" s="111" t="s">
        <v>42</v>
      </c>
      <c r="G795" s="3" t="s">
        <v>26</v>
      </c>
      <c r="H795" s="111">
        <v>0.75</v>
      </c>
      <c r="I795" s="22" t="s">
        <v>43</v>
      </c>
      <c r="J795" s="21" t="s">
        <v>221</v>
      </c>
      <c r="K795" s="21"/>
      <c r="L795" s="55"/>
      <c r="M795" s="150"/>
      <c r="N795" s="23" t="s">
        <v>1924</v>
      </c>
      <c r="O795" s="23" t="s">
        <v>29</v>
      </c>
      <c r="P795" s="45">
        <v>3.4</v>
      </c>
      <c r="Q795" s="45">
        <v>2</v>
      </c>
      <c r="R795" s="54">
        <v>46009</v>
      </c>
      <c r="S795" s="54">
        <v>46017</v>
      </c>
      <c r="T795" s="45" t="s">
        <v>19</v>
      </c>
      <c r="U795" s="100">
        <v>2</v>
      </c>
      <c r="V795" s="108">
        <v>0</v>
      </c>
      <c r="W795" s="22" t="s">
        <v>40</v>
      </c>
      <c r="X795" s="22" t="str">
        <f t="shared" si="68"/>
        <v>D1-PEW-B-2Y0.75</v>
      </c>
      <c r="Y795" s="22" t="s">
        <v>32</v>
      </c>
      <c r="Z795" s="78"/>
    </row>
    <row r="796" spans="1:26" s="70" customFormat="1" ht="24.95" customHeight="1">
      <c r="A796" s="80"/>
      <c r="B796" s="147">
        <v>45627</v>
      </c>
      <c r="C796" s="163" t="s">
        <v>51</v>
      </c>
      <c r="D796" s="59" t="s">
        <v>20</v>
      </c>
      <c r="E796" s="14" t="str">
        <f>IF(B666="","",LEFT(N796,3))</f>
        <v>H1A</v>
      </c>
      <c r="F796" s="111" t="s">
        <v>52</v>
      </c>
      <c r="G796" s="3" t="s">
        <v>26</v>
      </c>
      <c r="H796" s="111">
        <v>0.26</v>
      </c>
      <c r="I796" s="22" t="s">
        <v>43</v>
      </c>
      <c r="J796" s="21" t="s">
        <v>221</v>
      </c>
      <c r="K796" s="21"/>
      <c r="L796" s="55" t="s">
        <v>271</v>
      </c>
      <c r="M796" s="150"/>
      <c r="N796" s="23" t="s">
        <v>1908</v>
      </c>
      <c r="O796" s="23" t="s">
        <v>30</v>
      </c>
      <c r="P796" s="45">
        <v>3</v>
      </c>
      <c r="Q796" s="45">
        <v>1</v>
      </c>
      <c r="R796" s="54">
        <v>45628</v>
      </c>
      <c r="S796" s="54">
        <v>45637</v>
      </c>
      <c r="T796" s="45" t="s">
        <v>19</v>
      </c>
      <c r="U796" s="100">
        <v>1</v>
      </c>
      <c r="V796" s="108">
        <v>0</v>
      </c>
      <c r="W796" s="22" t="s">
        <v>40</v>
      </c>
      <c r="X796" s="22" t="str">
        <f t="shared" si="68"/>
        <v>D2IDW4-B-20.26</v>
      </c>
      <c r="Y796" s="22" t="s">
        <v>32</v>
      </c>
      <c r="Z796" s="78"/>
    </row>
    <row r="797" spans="1:26" s="70" customFormat="1" ht="24.95" customHeight="1">
      <c r="A797" s="80"/>
      <c r="B797" s="147">
        <v>45627</v>
      </c>
      <c r="C797" s="157" t="s">
        <v>51</v>
      </c>
      <c r="D797" s="59" t="s">
        <v>20</v>
      </c>
      <c r="E797" s="14" t="str">
        <f>IF(B634="","",LEFT(N797,3))</f>
        <v>H2A</v>
      </c>
      <c r="F797" s="111" t="s">
        <v>52</v>
      </c>
      <c r="G797" s="3" t="s">
        <v>26</v>
      </c>
      <c r="H797" s="111">
        <v>0.26</v>
      </c>
      <c r="I797" s="22" t="s">
        <v>43</v>
      </c>
      <c r="J797" s="21" t="s">
        <v>221</v>
      </c>
      <c r="K797" s="21"/>
      <c r="L797" s="55" t="s">
        <v>467</v>
      </c>
      <c r="M797" s="150"/>
      <c r="N797" s="23" t="s">
        <v>1920</v>
      </c>
      <c r="O797" s="23" t="s">
        <v>30</v>
      </c>
      <c r="P797" s="45">
        <v>2.2999999999999998</v>
      </c>
      <c r="Q797" s="45">
        <v>2</v>
      </c>
      <c r="R797" s="54">
        <v>45628</v>
      </c>
      <c r="S797" s="54">
        <v>45637</v>
      </c>
      <c r="T797" s="45" t="s">
        <v>19</v>
      </c>
      <c r="U797" s="100">
        <v>2</v>
      </c>
      <c r="V797" s="108">
        <v>0</v>
      </c>
      <c r="W797" s="22" t="s">
        <v>40</v>
      </c>
      <c r="X797" s="22" t="str">
        <f t="shared" si="68"/>
        <v>D2IDW4-B-20.26</v>
      </c>
      <c r="Y797" s="22" t="s">
        <v>32</v>
      </c>
      <c r="Z797" s="78"/>
    </row>
    <row r="798" spans="1:26" s="70" customFormat="1" ht="24.95" customHeight="1">
      <c r="A798" s="80"/>
      <c r="B798" s="147">
        <v>45627</v>
      </c>
      <c r="C798" s="157" t="s">
        <v>51</v>
      </c>
      <c r="D798" s="59" t="s">
        <v>20</v>
      </c>
      <c r="E798" s="14" t="str">
        <f>IF(B635="","",LEFT(N798,3))</f>
        <v>H2A</v>
      </c>
      <c r="F798" s="111" t="s">
        <v>52</v>
      </c>
      <c r="G798" s="3" t="s">
        <v>26</v>
      </c>
      <c r="H798" s="111">
        <v>0.26</v>
      </c>
      <c r="I798" s="22" t="s">
        <v>43</v>
      </c>
      <c r="J798" s="21" t="s">
        <v>447</v>
      </c>
      <c r="K798" s="21"/>
      <c r="L798" s="55" t="s">
        <v>1921</v>
      </c>
      <c r="M798" s="150"/>
      <c r="N798" s="23" t="s">
        <v>1920</v>
      </c>
      <c r="O798" s="23" t="s">
        <v>1922</v>
      </c>
      <c r="P798" s="23" t="s">
        <v>1294</v>
      </c>
      <c r="Q798" s="45">
        <v>3</v>
      </c>
      <c r="R798" s="54">
        <v>45628</v>
      </c>
      <c r="S798" s="54">
        <v>45637</v>
      </c>
      <c r="T798" s="45" t="s">
        <v>19</v>
      </c>
      <c r="U798" s="100">
        <v>3</v>
      </c>
      <c r="V798" s="108">
        <v>0</v>
      </c>
      <c r="W798" s="22" t="s">
        <v>40</v>
      </c>
      <c r="X798" s="22" t="str">
        <f t="shared" si="68"/>
        <v>D2IDW4-B-20.26</v>
      </c>
      <c r="Y798" s="22" t="s">
        <v>32</v>
      </c>
      <c r="Z798" s="78"/>
    </row>
    <row r="799" spans="1:26" s="70" customFormat="1" ht="24.95" customHeight="1">
      <c r="A799" s="80"/>
      <c r="B799" s="147">
        <v>45627</v>
      </c>
      <c r="C799" s="157" t="s">
        <v>51</v>
      </c>
      <c r="D799" s="59" t="s">
        <v>20</v>
      </c>
      <c r="E799" s="14" t="str">
        <f>IF(B636="","",LEFT(N799,3))</f>
        <v>H2A</v>
      </c>
      <c r="F799" s="111" t="s">
        <v>52</v>
      </c>
      <c r="G799" s="3" t="s">
        <v>26</v>
      </c>
      <c r="H799" s="111">
        <v>0.26</v>
      </c>
      <c r="I799" s="22" t="s">
        <v>31</v>
      </c>
      <c r="J799" s="21" t="s">
        <v>1965</v>
      </c>
      <c r="K799" s="21"/>
      <c r="L799" s="55" t="s">
        <v>1966</v>
      </c>
      <c r="M799" s="150"/>
      <c r="N799" s="23" t="s">
        <v>1967</v>
      </c>
      <c r="O799" s="23" t="s">
        <v>1968</v>
      </c>
      <c r="P799" s="23" t="s">
        <v>1969</v>
      </c>
      <c r="Q799" s="45">
        <v>2</v>
      </c>
      <c r="R799" s="54">
        <v>45640</v>
      </c>
      <c r="S799" s="54">
        <v>45646</v>
      </c>
      <c r="T799" s="45" t="s">
        <v>19</v>
      </c>
      <c r="U799" s="100">
        <v>2</v>
      </c>
      <c r="V799" s="108">
        <v>0</v>
      </c>
      <c r="W799" s="22" t="s">
        <v>40</v>
      </c>
      <c r="X799" s="22" t="str">
        <f t="shared" si="68"/>
        <v>D2IDW4-B-20.26</v>
      </c>
      <c r="Y799" s="22" t="s">
        <v>32</v>
      </c>
      <c r="Z799" s="78"/>
    </row>
    <row r="800" spans="1:26" s="70" customFormat="1" ht="24.95" customHeight="1">
      <c r="A800" s="80"/>
      <c r="B800" s="147">
        <v>45627</v>
      </c>
      <c r="C800" s="157" t="s">
        <v>51</v>
      </c>
      <c r="D800" s="59" t="s">
        <v>20</v>
      </c>
      <c r="E800" s="14" t="str">
        <f>IF(B637="","",LEFT(N800,3))</f>
        <v>H1A</v>
      </c>
      <c r="F800" s="111" t="s">
        <v>52</v>
      </c>
      <c r="G800" s="3" t="s">
        <v>26</v>
      </c>
      <c r="H800" s="111">
        <v>0.26</v>
      </c>
      <c r="I800" s="22" t="s">
        <v>43</v>
      </c>
      <c r="J800" s="21" t="s">
        <v>299</v>
      </c>
      <c r="K800" s="21"/>
      <c r="L800" s="55" t="s">
        <v>761</v>
      </c>
      <c r="M800" s="150"/>
      <c r="N800" s="23" t="s">
        <v>1908</v>
      </c>
      <c r="O800" s="23" t="s">
        <v>30</v>
      </c>
      <c r="P800" s="23" t="s">
        <v>328</v>
      </c>
      <c r="Q800" s="45">
        <v>1</v>
      </c>
      <c r="R800" s="54">
        <v>45628</v>
      </c>
      <c r="S800" s="54">
        <v>45646</v>
      </c>
      <c r="T800" s="45" t="s">
        <v>19</v>
      </c>
      <c r="U800" s="100">
        <v>1</v>
      </c>
      <c r="V800" s="108">
        <v>0</v>
      </c>
      <c r="W800" s="22" t="s">
        <v>40</v>
      </c>
      <c r="X800" s="22" t="str">
        <f t="shared" si="68"/>
        <v>D2IDW4-B-20.26</v>
      </c>
      <c r="Y800" s="22" t="s">
        <v>32</v>
      </c>
      <c r="Z800" s="78"/>
    </row>
    <row r="801" spans="1:26" s="70" customFormat="1" ht="24.95" customHeight="1">
      <c r="A801" s="80"/>
      <c r="B801" s="147">
        <v>45627</v>
      </c>
      <c r="C801" s="157" t="s">
        <v>51</v>
      </c>
      <c r="D801" s="59" t="s">
        <v>20</v>
      </c>
      <c r="E801" s="14" t="str">
        <f>IF(B638="","",LEFT(N801,3))</f>
        <v>H5B</v>
      </c>
      <c r="F801" s="111" t="s">
        <v>305</v>
      </c>
      <c r="G801" s="15" t="s">
        <v>27</v>
      </c>
      <c r="H801" s="111">
        <v>0.25</v>
      </c>
      <c r="I801" s="22" t="s">
        <v>25</v>
      </c>
      <c r="J801" s="21" t="s">
        <v>1865</v>
      </c>
      <c r="K801" s="21" t="s">
        <v>1865</v>
      </c>
      <c r="L801" s="55" t="s">
        <v>1988</v>
      </c>
      <c r="M801" s="150"/>
      <c r="N801" s="23" t="s">
        <v>1989</v>
      </c>
      <c r="O801" s="23" t="s">
        <v>176</v>
      </c>
      <c r="P801" s="23" t="s">
        <v>328</v>
      </c>
      <c r="Q801" s="45">
        <v>2</v>
      </c>
      <c r="R801" s="54">
        <v>45636</v>
      </c>
      <c r="S801" s="54">
        <v>45649</v>
      </c>
      <c r="T801" s="45" t="s">
        <v>19</v>
      </c>
      <c r="U801" s="100">
        <v>2</v>
      </c>
      <c r="V801" s="108">
        <v>0</v>
      </c>
      <c r="W801" s="22" t="s">
        <v>40</v>
      </c>
      <c r="X801" s="22" t="str">
        <f t="shared" ref="X801" si="69">F801&amp;H801</f>
        <v>2AIWP0.25</v>
      </c>
      <c r="Y801" s="22" t="s">
        <v>32</v>
      </c>
      <c r="Z801" s="78"/>
    </row>
    <row r="802" spans="1:26" s="70" customFormat="1" ht="24.95" customHeight="1">
      <c r="A802" s="80"/>
      <c r="B802" s="147">
        <v>45627</v>
      </c>
      <c r="C802" s="157" t="s">
        <v>51</v>
      </c>
      <c r="D802" s="59" t="s">
        <v>20</v>
      </c>
      <c r="E802" s="14" t="str">
        <f>IF(B639="","",LEFT(N802,3))</f>
        <v>H5A</v>
      </c>
      <c r="F802" s="111" t="s">
        <v>648</v>
      </c>
      <c r="G802" s="3" t="s">
        <v>26</v>
      </c>
      <c r="H802" s="111">
        <v>0.28999999999999998</v>
      </c>
      <c r="I802" s="22" t="s">
        <v>286</v>
      </c>
      <c r="J802" s="21" t="s">
        <v>360</v>
      </c>
      <c r="K802" s="21"/>
      <c r="L802" s="55" t="s">
        <v>2002</v>
      </c>
      <c r="M802" s="150"/>
      <c r="N802" s="23" t="s">
        <v>2003</v>
      </c>
      <c r="O802" s="23" t="s">
        <v>30</v>
      </c>
      <c r="P802" s="23" t="s">
        <v>328</v>
      </c>
      <c r="Q802" s="45">
        <v>1</v>
      </c>
      <c r="R802" s="54">
        <v>45651</v>
      </c>
      <c r="S802" s="54">
        <v>45656</v>
      </c>
      <c r="T802" s="45" t="s">
        <v>19</v>
      </c>
      <c r="U802" s="100">
        <v>1</v>
      </c>
      <c r="V802" s="108">
        <v>0</v>
      </c>
      <c r="W802" s="22" t="s">
        <v>40</v>
      </c>
      <c r="X802" s="111" t="str">
        <f>F802&amp;H802</f>
        <v>1AIW0.29</v>
      </c>
      <c r="Y802" s="22" t="s">
        <v>32</v>
      </c>
      <c r="Z802" s="78"/>
    </row>
    <row r="803" spans="1:26" s="70" customFormat="1" ht="24.95" customHeight="1">
      <c r="A803" s="80"/>
      <c r="B803" s="147">
        <v>45627</v>
      </c>
      <c r="C803" s="157" t="s">
        <v>51</v>
      </c>
      <c r="D803" s="59" t="s">
        <v>20</v>
      </c>
      <c r="E803" s="14" t="str">
        <f>IF(B640="","",LEFT(N803,3))</f>
        <v>H5B</v>
      </c>
      <c r="F803" s="111" t="s">
        <v>648</v>
      </c>
      <c r="G803" s="3" t="s">
        <v>26</v>
      </c>
      <c r="H803" s="111">
        <v>0.28999999999999998</v>
      </c>
      <c r="I803" s="22" t="s">
        <v>286</v>
      </c>
      <c r="J803" s="21" t="s">
        <v>360</v>
      </c>
      <c r="K803" s="21"/>
      <c r="L803" s="55" t="s">
        <v>2002</v>
      </c>
      <c r="M803" s="150"/>
      <c r="N803" s="23" t="s">
        <v>2004</v>
      </c>
      <c r="O803" s="23" t="s">
        <v>30</v>
      </c>
      <c r="P803" s="23" t="s">
        <v>328</v>
      </c>
      <c r="Q803" s="45">
        <v>1</v>
      </c>
      <c r="R803" s="54">
        <v>45651</v>
      </c>
      <c r="S803" s="54">
        <v>45656</v>
      </c>
      <c r="T803" s="45" t="s">
        <v>19</v>
      </c>
      <c r="U803" s="100">
        <v>1</v>
      </c>
      <c r="V803" s="108">
        <v>0</v>
      </c>
      <c r="W803" s="22" t="s">
        <v>40</v>
      </c>
      <c r="X803" s="111" t="str">
        <f>F803&amp;H803</f>
        <v>1AIW0.29</v>
      </c>
      <c r="Y803" s="22" t="s">
        <v>32</v>
      </c>
      <c r="Z803" s="78"/>
    </row>
  </sheetData>
  <dataConsolidate/>
  <mergeCells count="2">
    <mergeCell ref="Z563:AB563"/>
    <mergeCell ref="Z588:AB588"/>
  </mergeCells>
  <conditionalFormatting sqref="P486:P488 S80:S96 R97:S102 Q103:S170 Q65:S65 P171:S171 O172:R485 T5:T800 O487:R800">
    <cfRule type="expression" dxfId="8" priority="1622" stopIfTrue="1">
      <formula>Closed</formula>
    </cfRule>
  </conditionalFormatting>
  <conditionalFormatting sqref="P486:P488 S80:S96 R97:S102 Q103:S170 Q65:S65 P171:S171 O172:R485 T5:T800 O487:R800">
    <cfRule type="cellIs" dxfId="7" priority="1620" stopIfTrue="1" operator="equal">
      <formula>"OPEN"</formula>
    </cfRule>
    <cfRule type="cellIs" dxfId="6" priority="1621" stopIfTrue="1" operator="equal">
      <formula>"CLOSED"</formula>
    </cfRule>
  </conditionalFormatting>
  <conditionalFormatting sqref="T801 O801:R801">
    <cfRule type="expression" dxfId="5" priority="6" stopIfTrue="1">
      <formula>Closed</formula>
    </cfRule>
  </conditionalFormatting>
  <conditionalFormatting sqref="T801 O801:R801">
    <cfRule type="cellIs" dxfId="4" priority="4" stopIfTrue="1" operator="equal">
      <formula>"OPEN"</formula>
    </cfRule>
    <cfRule type="cellIs" dxfId="3" priority="5" stopIfTrue="1" operator="equal">
      <formula>"CLOSED"</formula>
    </cfRule>
  </conditionalFormatting>
  <conditionalFormatting sqref="T802:T803 O802:R803">
    <cfRule type="expression" dxfId="2" priority="3" stopIfTrue="1">
      <formula>Closed</formula>
    </cfRule>
  </conditionalFormatting>
  <conditionalFormatting sqref="T802:T803 O802:R803">
    <cfRule type="cellIs" dxfId="1" priority="1" stopIfTrue="1" operator="equal">
      <formula>"OPEN"</formula>
    </cfRule>
    <cfRule type="cellIs" dxfId="0" priority="2" stopIfTrue="1" operator="equal">
      <formula>"CLOSED"</formula>
    </cfRule>
  </conditionalFormatting>
  <pageMargins left="0.27559055118110237" right="0" top="0.15748031496062992" bottom="0.23622047244094491" header="0.15748031496062992" footer="0.23622047244094491"/>
  <pageSetup paperSize="8" scale="39" orientation="landscape" r:id="rId1"/>
  <headerFooter alignWithMargins="0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All</vt:lpstr>
      <vt:lpstr>All!Print_Area</vt:lpstr>
    </vt:vector>
  </TitlesOfParts>
  <Company>SEWI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erry</dc:creator>
  <cp:lastModifiedBy>he9209</cp:lastModifiedBy>
  <cp:lastPrinted>2024-03-21T05:47:25Z</cp:lastPrinted>
  <dcterms:created xsi:type="dcterms:W3CDTF">2011-05-27T01:13:28Z</dcterms:created>
  <dcterms:modified xsi:type="dcterms:W3CDTF">2025-01-02T02:13:03Z</dcterms:modified>
</cp:coreProperties>
</file>